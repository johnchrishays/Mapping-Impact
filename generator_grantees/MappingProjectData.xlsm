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defaultThemeVersion="166925"/>
  <mc:AlternateContent xmlns:mc="http://schemas.openxmlformats.org/markup-compatibility/2006">
    <mc:Choice Requires="x15">
      <x15ac:absPath xmlns:x15ac="http://schemas.microsoft.com/office/spreadsheetml/2010/11/ac" url="P:\Program Shares\Mapping Project\mapping code\generator_grantees\"/>
    </mc:Choice>
  </mc:AlternateContent>
  <bookViews>
    <workbookView xWindow="0" yWindow="0" windowWidth="28800" windowHeight="12795" tabRatio="902"/>
  </bookViews>
  <sheets>
    <sheet name="MappingProjectData" sheetId="1" r:id="rId1"/>
    <sheet name="FuzzyLookup_AddIn_Undo_Sheet" sheetId="10" state="hidden" r:id="rId2"/>
    <sheet name="email info followup" sheetId="15" r:id="rId3"/>
    <sheet name="email info request 2" sheetId="13" r:id="rId4"/>
    <sheet name="email info request" sheetId="12" r:id="rId5"/>
    <sheet name="POC-led or no" sheetId="8" r:id="rId6"/>
    <sheet name="Still need POC status orgs" sheetId="11" r:id="rId7"/>
    <sheet name="Convening Attendees" sheetId="9" r:id="rId8"/>
    <sheet name="Workbook2" sheetId="6" r:id="rId9"/>
    <sheet name="Workbook1" sheetId="5" r:id="rId10"/>
    <sheet name="GrantedGE" sheetId="2" r:id="rId11"/>
    <sheet name="RE2" sheetId="7" r:id="rId12"/>
    <sheet name="RE" sheetId="4" r:id="rId13"/>
  </sheets>
  <functionGroups builtInGroupCount="18"/>
  <definedNames>
    <definedName name="ExternalData_2" localSheetId="12" hidden="1">RE!$A$1:$D$219</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1" i="1" l="1"/>
  <c r="E21" i="1" l="1"/>
  <c r="H98" i="1"/>
  <c r="H97" i="1"/>
  <c r="B87" i="1" l="1"/>
  <c r="F93" i="1"/>
  <c r="F91" i="1"/>
  <c r="F88" i="1"/>
  <c r="F87" i="1"/>
  <c r="F85" i="1"/>
  <c r="F81" i="1"/>
  <c r="F80" i="1"/>
  <c r="F78" i="1"/>
  <c r="F72" i="1"/>
  <c r="F71" i="1"/>
  <c r="F70" i="1"/>
  <c r="F68" i="1"/>
  <c r="F66" i="1"/>
  <c r="F65" i="1"/>
  <c r="F47" i="1"/>
  <c r="F43" i="1"/>
  <c r="F39" i="1"/>
  <c r="F38" i="1"/>
  <c r="F37" i="1"/>
  <c r="F32" i="1"/>
  <c r="F31" i="1"/>
  <c r="F29" i="1"/>
  <c r="F23" i="1"/>
  <c r="F21" i="1"/>
  <c r="F15" i="1"/>
  <c r="F14" i="1"/>
  <c r="F13" i="1"/>
  <c r="F11" i="1"/>
  <c r="F7" i="1"/>
  <c r="F5" i="1"/>
  <c r="D450" i="7"/>
  <c r="F91" i="5"/>
  <c r="G91" i="5"/>
  <c r="H91" i="5"/>
  <c r="F88" i="5"/>
  <c r="H88" i="5"/>
  <c r="H56" i="5"/>
  <c r="F56" i="5"/>
  <c r="A24" i="1"/>
  <c r="F16" i="5"/>
  <c r="H16" i="5"/>
  <c r="F17" i="5"/>
  <c r="H17" i="5"/>
  <c r="F18" i="5"/>
  <c r="H18" i="5"/>
  <c r="F19" i="5"/>
  <c r="H19" i="5"/>
  <c r="F23" i="5"/>
  <c r="F22" i="5" s="1"/>
  <c r="F21" i="5" s="1"/>
  <c r="F20" i="5" s="1"/>
  <c r="H23" i="5"/>
  <c r="H22" i="5" s="1"/>
  <c r="H21" i="5" s="1"/>
  <c r="H20" i="5" s="1"/>
  <c r="F25" i="5"/>
  <c r="F24" i="5" s="1"/>
  <c r="H25" i="5"/>
  <c r="H24" i="5" s="1"/>
  <c r="F26" i="5"/>
  <c r="H26" i="5"/>
  <c r="F27" i="5"/>
  <c r="H27" i="5"/>
  <c r="F32" i="5"/>
  <c r="F31" i="5" s="1"/>
  <c r="F30" i="5" s="1"/>
  <c r="F29" i="5" s="1"/>
  <c r="F28" i="5" s="1"/>
  <c r="H32" i="5"/>
  <c r="H31" i="5" s="1"/>
  <c r="H30" i="5" s="1"/>
  <c r="H29" i="5" s="1"/>
  <c r="H28" i="5" s="1"/>
  <c r="F33" i="5"/>
  <c r="H33" i="5"/>
  <c r="F34" i="5"/>
  <c r="H34" i="5"/>
  <c r="F35" i="5"/>
  <c r="H35" i="5"/>
  <c r="F36" i="5"/>
  <c r="H36" i="5"/>
  <c r="F37" i="5"/>
  <c r="H37" i="5"/>
  <c r="F38" i="5"/>
  <c r="H38" i="5"/>
  <c r="F39" i="5"/>
  <c r="H39" i="5"/>
  <c r="F42" i="5"/>
  <c r="F41" i="5" s="1"/>
  <c r="F40" i="5" s="1"/>
  <c r="H42" i="5"/>
  <c r="H41" i="5" s="1"/>
  <c r="H40" i="5" s="1"/>
  <c r="F43" i="5"/>
  <c r="H43" i="5"/>
  <c r="F44" i="5"/>
  <c r="H44" i="5"/>
  <c r="F47" i="5"/>
  <c r="F46" i="5" s="1"/>
  <c r="F45" i="5" s="1"/>
  <c r="H47" i="5"/>
  <c r="H46" i="5" s="1"/>
  <c r="H45" i="5" s="1"/>
  <c r="F48" i="5"/>
  <c r="H48" i="5"/>
  <c r="F49" i="5"/>
  <c r="H49" i="5"/>
  <c r="F50" i="5"/>
  <c r="H50" i="5"/>
  <c r="F54" i="5"/>
  <c r="F53" i="5" s="1"/>
  <c r="F52" i="5" s="1"/>
  <c r="F51" i="5" s="1"/>
  <c r="H54" i="5"/>
  <c r="H53" i="5" s="1"/>
  <c r="H52" i="5" s="1"/>
  <c r="H51" i="5" s="1"/>
  <c r="F55" i="5"/>
  <c r="H55" i="5"/>
  <c r="F58" i="5"/>
  <c r="F57" i="5" s="1"/>
  <c r="H58" i="5"/>
  <c r="H57" i="5" s="1"/>
  <c r="F59" i="5"/>
  <c r="H59" i="5"/>
  <c r="F60" i="5"/>
  <c r="H60" i="5"/>
  <c r="F62" i="5"/>
  <c r="F61" i="5" s="1"/>
  <c r="H62" i="5"/>
  <c r="H61" i="5" s="1"/>
  <c r="F64" i="5"/>
  <c r="F63" i="5" s="1"/>
  <c r="H64" i="5"/>
  <c r="H63" i="5" s="1"/>
  <c r="F66" i="5"/>
  <c r="F65" i="5" s="1"/>
  <c r="H66" i="5"/>
  <c r="H65" i="5" s="1"/>
  <c r="F67" i="5"/>
  <c r="H67" i="5"/>
  <c r="F68" i="5"/>
  <c r="H68" i="5"/>
  <c r="F70" i="5"/>
  <c r="F69" i="5" s="1"/>
  <c r="H70" i="5"/>
  <c r="H69" i="5" s="1"/>
  <c r="F72" i="5"/>
  <c r="F71" i="5" s="1"/>
  <c r="H72" i="5"/>
  <c r="H71" i="5" s="1"/>
  <c r="F74" i="5"/>
  <c r="F73" i="5" s="1"/>
  <c r="H74" i="5"/>
  <c r="H73" i="5" s="1"/>
  <c r="F75" i="5"/>
  <c r="H75" i="5"/>
  <c r="F76" i="5"/>
  <c r="H76" i="5"/>
  <c r="F77" i="5"/>
  <c r="H77" i="5"/>
  <c r="F78" i="5"/>
  <c r="H78" i="5"/>
  <c r="F79" i="5"/>
  <c r="H79" i="5"/>
  <c r="F80" i="5"/>
  <c r="H80" i="5"/>
  <c r="F81" i="5"/>
  <c r="H81" i="5"/>
  <c r="F82" i="5"/>
  <c r="H82" i="5"/>
  <c r="F84" i="5"/>
  <c r="F83" i="5" s="1"/>
  <c r="H84" i="5"/>
  <c r="H83" i="5" s="1"/>
  <c r="F86" i="5"/>
  <c r="F85" i="5" s="1"/>
  <c r="H86" i="5"/>
  <c r="H85" i="5" s="1"/>
  <c r="F87" i="5"/>
  <c r="H87" i="5"/>
  <c r="F89" i="5"/>
  <c r="H89" i="5"/>
  <c r="F90" i="5"/>
  <c r="H90" i="5"/>
  <c r="F92" i="5"/>
  <c r="H92" i="5"/>
  <c r="F93" i="5"/>
  <c r="H93" i="5"/>
  <c r="F96" i="5"/>
  <c r="F95" i="5" s="1"/>
  <c r="F94" i="5" s="1"/>
  <c r="H96" i="5"/>
  <c r="H95" i="5" s="1"/>
  <c r="H94" i="5" s="1"/>
  <c r="F99" i="5"/>
  <c r="F98" i="5" s="1"/>
  <c r="F97" i="5" s="1"/>
  <c r="H99" i="5"/>
  <c r="H98" i="5" s="1"/>
  <c r="H97" i="5" s="1"/>
  <c r="F100" i="5"/>
  <c r="H100" i="5"/>
  <c r="F101" i="5"/>
  <c r="H101" i="5"/>
  <c r="F102" i="5"/>
  <c r="H102" i="5"/>
  <c r="F103" i="5"/>
  <c r="H103" i="5"/>
  <c r="F104" i="5"/>
  <c r="H104" i="5"/>
  <c r="F105" i="5"/>
  <c r="H105" i="5"/>
  <c r="F106" i="5"/>
  <c r="H106" i="5"/>
  <c r="F107" i="5"/>
  <c r="H107" i="5"/>
  <c r="F108" i="5"/>
  <c r="H108" i="5"/>
  <c r="F110" i="5"/>
  <c r="F109" i="5" s="1"/>
  <c r="H110" i="5"/>
  <c r="H109" i="5" s="1"/>
  <c r="F111" i="5"/>
  <c r="H111" i="5"/>
  <c r="F112" i="5"/>
  <c r="H112" i="5"/>
  <c r="F113" i="5"/>
  <c r="H113" i="5"/>
  <c r="F114" i="5"/>
  <c r="H114" i="5"/>
  <c r="F115" i="5"/>
  <c r="H115" i="5"/>
  <c r="F117" i="5"/>
  <c r="F116" i="5" s="1"/>
  <c r="H117" i="5"/>
  <c r="H116" i="5" s="1"/>
  <c r="F118" i="5"/>
  <c r="H118" i="5"/>
  <c r="F119" i="5"/>
  <c r="H119" i="5"/>
  <c r="F120" i="5"/>
  <c r="H120" i="5"/>
  <c r="F122" i="5"/>
  <c r="F121" i="5" s="1"/>
  <c r="H122" i="5"/>
  <c r="H121" i="5" s="1"/>
  <c r="F123" i="5"/>
  <c r="H123" i="5"/>
  <c r="F124" i="5"/>
  <c r="H124" i="5"/>
  <c r="F125" i="5"/>
  <c r="H125" i="5"/>
  <c r="F126" i="5"/>
  <c r="H126" i="5"/>
  <c r="H128" i="5"/>
  <c r="H127" i="5" s="1"/>
  <c r="F129" i="5"/>
  <c r="F128" i="5" s="1"/>
  <c r="F127" i="5" s="1"/>
  <c r="H129" i="5"/>
  <c r="F130" i="5"/>
  <c r="H130" i="5"/>
  <c r="F132" i="5"/>
  <c r="F131" i="5" s="1"/>
  <c r="F133" i="5"/>
  <c r="H133" i="5"/>
  <c r="H132" i="5" s="1"/>
  <c r="H131" i="5" s="1"/>
  <c r="H134" i="5"/>
  <c r="F135" i="5"/>
  <c r="F134" i="5" s="1"/>
  <c r="H135" i="5"/>
  <c r="F136" i="5"/>
  <c r="H136" i="5"/>
  <c r="F137" i="5"/>
  <c r="H137" i="5"/>
  <c r="F3" i="5"/>
  <c r="H3" i="5"/>
  <c r="F4" i="5"/>
  <c r="H4" i="5"/>
  <c r="F5" i="5"/>
  <c r="H5" i="5"/>
  <c r="F6" i="5"/>
  <c r="H6" i="5"/>
  <c r="F7" i="5"/>
  <c r="H7" i="5"/>
  <c r="A7" i="6" s="1"/>
  <c r="F8" i="5"/>
  <c r="H8" i="5"/>
  <c r="F9" i="5"/>
  <c r="H9" i="5"/>
  <c r="F11" i="5"/>
  <c r="F10" i="5" s="1"/>
  <c r="H11" i="5"/>
  <c r="H10" i="5" s="1"/>
  <c r="F14" i="5"/>
  <c r="F13" i="5" s="1"/>
  <c r="F12" i="5" s="1"/>
  <c r="H14" i="5"/>
  <c r="H13" i="5" s="1"/>
  <c r="H12" i="5" s="1"/>
  <c r="F15" i="5"/>
  <c r="H15" i="5"/>
  <c r="E30" i="5"/>
  <c r="H2" i="5" l="1"/>
  <c r="F2" i="5"/>
  <c r="A36" i="1"/>
  <c r="A70" i="1"/>
  <c r="A2" i="1"/>
  <c r="F42" i="1" l="1"/>
  <c r="A13" i="1"/>
  <c r="A53" i="8"/>
  <c r="A22" i="8"/>
  <c r="D45" i="8"/>
  <c r="D93" i="8"/>
  <c r="D3" i="8" l="1"/>
  <c r="D4" i="8"/>
  <c r="D5"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90" i="8"/>
  <c r="D91" i="8"/>
  <c r="D92" i="8"/>
  <c r="D94" i="8"/>
  <c r="D95" i="8"/>
  <c r="D96" i="8"/>
  <c r="D97" i="8"/>
  <c r="D98" i="8"/>
  <c r="D2" i="8"/>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2" i="9"/>
  <c r="A93" i="6" l="1"/>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1" i="8"/>
  <c r="A20" i="8"/>
  <c r="A19" i="8"/>
  <c r="A18" i="8"/>
  <c r="A17" i="8"/>
  <c r="A16" i="8"/>
  <c r="A15" i="8"/>
  <c r="A14" i="8"/>
  <c r="A13" i="8"/>
  <c r="A12" i="8"/>
  <c r="A11" i="8"/>
  <c r="A10" i="8"/>
  <c r="A9" i="8"/>
  <c r="A8" i="8"/>
  <c r="A7" i="8"/>
  <c r="A6" i="8"/>
  <c r="A5" i="8"/>
  <c r="A4" i="8"/>
  <c r="A3" i="8"/>
  <c r="A2" i="8"/>
  <c r="A13" i="6"/>
  <c r="A14" i="6"/>
  <c r="A15" i="6"/>
  <c r="A16" i="6"/>
  <c r="A18" i="6"/>
  <c r="A19" i="6"/>
  <c r="A20" i="6"/>
  <c r="A21" i="6"/>
  <c r="A22" i="6"/>
  <c r="A23" i="6"/>
  <c r="B23" i="8" s="1"/>
  <c r="C23" i="8" s="1"/>
  <c r="E23" i="8" s="1"/>
  <c r="A24" i="6"/>
  <c r="A25" i="6"/>
  <c r="A26" i="6"/>
  <c r="A27" i="6"/>
  <c r="A28" i="6"/>
  <c r="A29" i="6"/>
  <c r="A30" i="6"/>
  <c r="A31" i="6"/>
  <c r="B31" i="8" s="1"/>
  <c r="C31" i="8" s="1"/>
  <c r="E31" i="8" s="1"/>
  <c r="A32" i="6"/>
  <c r="A33" i="6"/>
  <c r="A34" i="6"/>
  <c r="A35" i="6"/>
  <c r="A36" i="6"/>
  <c r="A37" i="6"/>
  <c r="A38" i="6"/>
  <c r="A39" i="6"/>
  <c r="B39" i="8" s="1"/>
  <c r="C39" i="8" s="1"/>
  <c r="E39" i="8" s="1"/>
  <c r="A40" i="6"/>
  <c r="B40" i="8" s="1"/>
  <c r="C40" i="8" s="1"/>
  <c r="E40" i="8" s="1"/>
  <c r="A41" i="6"/>
  <c r="A42" i="6"/>
  <c r="A43" i="6"/>
  <c r="A44" i="6"/>
  <c r="A45" i="6"/>
  <c r="A46" i="6"/>
  <c r="A47" i="6"/>
  <c r="B47" i="8" s="1"/>
  <c r="C47" i="8" s="1"/>
  <c r="E47" i="8" s="1"/>
  <c r="A48" i="6"/>
  <c r="A50" i="6"/>
  <c r="A51" i="6"/>
  <c r="A52" i="6"/>
  <c r="A53" i="6"/>
  <c r="A54" i="6"/>
  <c r="A55" i="6"/>
  <c r="B55" i="8" s="1"/>
  <c r="C55" i="8" s="1"/>
  <c r="E55" i="8" s="1"/>
  <c r="A56" i="6"/>
  <c r="A57" i="6"/>
  <c r="A58" i="6"/>
  <c r="A59" i="6"/>
  <c r="A60" i="6"/>
  <c r="A61" i="6"/>
  <c r="A62" i="6"/>
  <c r="A63" i="6"/>
  <c r="B63" i="8" s="1"/>
  <c r="C63" i="8" s="1"/>
  <c r="E63" i="8" s="1"/>
  <c r="A64" i="6"/>
  <c r="A65" i="6"/>
  <c r="A66" i="6"/>
  <c r="A67" i="6"/>
  <c r="A68" i="6"/>
  <c r="A69" i="6"/>
  <c r="A70" i="6"/>
  <c r="A71" i="6"/>
  <c r="B71" i="8" s="1"/>
  <c r="C71" i="8" s="1"/>
  <c r="E71" i="8" s="1"/>
  <c r="A49" i="6"/>
  <c r="A72" i="6"/>
  <c r="A73" i="6"/>
  <c r="A74" i="6"/>
  <c r="A75" i="6"/>
  <c r="A76" i="6"/>
  <c r="A77" i="6"/>
  <c r="A78" i="6"/>
  <c r="A79" i="6"/>
  <c r="B79" i="8" s="1"/>
  <c r="C79" i="8" s="1"/>
  <c r="E79" i="8" s="1"/>
  <c r="A80" i="6"/>
  <c r="A81" i="6"/>
  <c r="A82" i="6"/>
  <c r="A83" i="6"/>
  <c r="A84" i="6"/>
  <c r="A85" i="6"/>
  <c r="A86" i="6"/>
  <c r="A87" i="6"/>
  <c r="B87" i="8" s="1"/>
  <c r="C87" i="8" s="1"/>
  <c r="E87" i="8" s="1"/>
  <c r="A88" i="6"/>
  <c r="A89" i="6"/>
  <c r="A90" i="6"/>
  <c r="A91" i="6"/>
  <c r="A92" i="6"/>
  <c r="A94" i="6"/>
  <c r="B94" i="8" s="1"/>
  <c r="C94" i="8" s="1"/>
  <c r="E94" i="8" s="1"/>
  <c r="A95" i="6"/>
  <c r="B95" i="8" s="1"/>
  <c r="C95" i="8" s="1"/>
  <c r="E95" i="8" s="1"/>
  <c r="A96" i="6"/>
  <c r="A97" i="6"/>
  <c r="A98" i="6"/>
  <c r="A3" i="6"/>
  <c r="B3" i="8" s="1"/>
  <c r="C3" i="8" s="1"/>
  <c r="E3" i="8" s="1"/>
  <c r="A4" i="6"/>
  <c r="B4" i="8" s="1"/>
  <c r="C4" i="8" s="1"/>
  <c r="E4" i="8" s="1"/>
  <c r="A5" i="6"/>
  <c r="A6" i="6"/>
  <c r="B7" i="8"/>
  <c r="C7" i="8" s="1"/>
  <c r="E7" i="8" s="1"/>
  <c r="A8" i="6"/>
  <c r="A9" i="6"/>
  <c r="A10" i="6"/>
  <c r="A11" i="6"/>
  <c r="A12" i="6"/>
  <c r="A2" i="6"/>
  <c r="B2" i="8" s="1"/>
  <c r="C2" i="8" s="1"/>
  <c r="E2" i="8" s="1"/>
  <c r="E89" i="6"/>
  <c r="E9" i="6"/>
  <c r="E16" i="6"/>
  <c r="A17" i="6" l="1"/>
  <c r="B92" i="8"/>
  <c r="C92" i="8" s="1"/>
  <c r="E92" i="8" s="1"/>
  <c r="B84" i="8"/>
  <c r="C84" i="8" s="1"/>
  <c r="E84" i="8" s="1"/>
  <c r="B76" i="8"/>
  <c r="C76" i="8" s="1"/>
  <c r="E76" i="8" s="1"/>
  <c r="B44" i="8"/>
  <c r="C44" i="8" s="1"/>
  <c r="E44" i="8" s="1"/>
  <c r="B36" i="8"/>
  <c r="C36" i="8" s="1"/>
  <c r="E36" i="8" s="1"/>
  <c r="B19" i="8"/>
  <c r="C19" i="8" s="1"/>
  <c r="E19" i="8" s="1"/>
  <c r="B15" i="8"/>
  <c r="C15" i="8" s="1"/>
  <c r="E15" i="8" s="1"/>
  <c r="B11" i="8"/>
  <c r="C11" i="8" s="1"/>
  <c r="E11" i="8" s="1"/>
  <c r="B91" i="8"/>
  <c r="C91" i="8" s="1"/>
  <c r="E91" i="8" s="1"/>
  <c r="B83" i="8"/>
  <c r="C83" i="8" s="1"/>
  <c r="E83" i="8" s="1"/>
  <c r="B75" i="8"/>
  <c r="C75" i="8" s="1"/>
  <c r="E75" i="8" s="1"/>
  <c r="B68" i="8"/>
  <c r="C68" i="8" s="1"/>
  <c r="E68" i="8" s="1"/>
  <c r="B60" i="8"/>
  <c r="C60" i="8" s="1"/>
  <c r="E60" i="8" s="1"/>
  <c r="B52" i="8"/>
  <c r="C52" i="8" s="1"/>
  <c r="E52" i="8" s="1"/>
  <c r="B43" i="8"/>
  <c r="C43" i="8" s="1"/>
  <c r="E43" i="8" s="1"/>
  <c r="B98" i="8"/>
  <c r="C98" i="8" s="1"/>
  <c r="E98" i="8" s="1"/>
  <c r="B67" i="8"/>
  <c r="C67" i="8" s="1"/>
  <c r="E67" i="8" s="1"/>
  <c r="B59" i="8"/>
  <c r="C59" i="8" s="1"/>
  <c r="E59" i="8" s="1"/>
  <c r="B51" i="8"/>
  <c r="C51" i="8" s="1"/>
  <c r="E51" i="8" s="1"/>
  <c r="B35" i="8"/>
  <c r="C35" i="8" s="1"/>
  <c r="E35" i="8" s="1"/>
  <c r="B28" i="8"/>
  <c r="C28" i="8" s="1"/>
  <c r="E28" i="8" s="1"/>
  <c r="B8" i="8"/>
  <c r="C8" i="8" s="1"/>
  <c r="E8" i="8" s="1"/>
  <c r="B6" i="8"/>
  <c r="C6" i="8" s="1"/>
  <c r="E6" i="8" s="1"/>
  <c r="B5" i="8"/>
  <c r="C5" i="8" s="1"/>
  <c r="E5" i="8" s="1"/>
  <c r="B27" i="8"/>
  <c r="C27" i="8" s="1"/>
  <c r="E27" i="8" s="1"/>
  <c r="B20" i="8"/>
  <c r="C20" i="8" s="1"/>
  <c r="E20" i="8" s="1"/>
  <c r="B97" i="8"/>
  <c r="C97" i="8" s="1"/>
  <c r="E97" i="8" s="1"/>
  <c r="B93" i="8"/>
  <c r="C93" i="8" s="1"/>
  <c r="E93" i="8" s="1"/>
  <c r="B89" i="8"/>
  <c r="C89" i="8" s="1"/>
  <c r="E89" i="8" s="1"/>
  <c r="B85" i="8"/>
  <c r="C85" i="8" s="1"/>
  <c r="E85" i="8" s="1"/>
  <c r="B81" i="8"/>
  <c r="C81" i="8" s="1"/>
  <c r="E81" i="8" s="1"/>
  <c r="B77" i="8"/>
  <c r="C77" i="8" s="1"/>
  <c r="E77" i="8" s="1"/>
  <c r="B73" i="8"/>
  <c r="C73" i="8" s="1"/>
  <c r="E73" i="8" s="1"/>
  <c r="B69" i="8"/>
  <c r="E69" i="8" s="1"/>
  <c r="B65" i="8"/>
  <c r="C65" i="8" s="1"/>
  <c r="E65" i="8" s="1"/>
  <c r="B61" i="8"/>
  <c r="C61" i="8" s="1"/>
  <c r="E61" i="8" s="1"/>
  <c r="B57" i="8"/>
  <c r="C57" i="8" s="1"/>
  <c r="E57" i="8" s="1"/>
  <c r="B53" i="8"/>
  <c r="C53" i="8" s="1"/>
  <c r="E53" i="8" s="1"/>
  <c r="B49" i="8"/>
  <c r="C49" i="8" s="1"/>
  <c r="E49" i="8" s="1"/>
  <c r="B45" i="8"/>
  <c r="C45" i="8" s="1"/>
  <c r="E45" i="8" s="1"/>
  <c r="B41" i="8"/>
  <c r="C41" i="8" s="1"/>
  <c r="E41" i="8" s="1"/>
  <c r="B37" i="8"/>
  <c r="C37" i="8" s="1"/>
  <c r="E37" i="8" s="1"/>
  <c r="B33" i="8"/>
  <c r="C33" i="8" s="1"/>
  <c r="E33" i="8" s="1"/>
  <c r="B29" i="8"/>
  <c r="C29" i="8" s="1"/>
  <c r="E29" i="8" s="1"/>
  <c r="B25" i="8"/>
  <c r="C25" i="8" s="1"/>
  <c r="E25" i="8" s="1"/>
  <c r="B21" i="8"/>
  <c r="C21" i="8" s="1"/>
  <c r="E21" i="8" s="1"/>
  <c r="B13" i="8"/>
  <c r="C13" i="8" s="1"/>
  <c r="E13" i="8" s="1"/>
  <c r="B9" i="8"/>
  <c r="C9" i="8" s="1"/>
  <c r="E9" i="8" s="1"/>
  <c r="B96" i="8"/>
  <c r="C96" i="8" s="1"/>
  <c r="E96" i="8" s="1"/>
  <c r="B88" i="8"/>
  <c r="C88" i="8" s="1"/>
  <c r="E88" i="8" s="1"/>
  <c r="B80" i="8"/>
  <c r="C80" i="8" s="1"/>
  <c r="E80" i="8" s="1"/>
  <c r="B72" i="8"/>
  <c r="C72" i="8" s="1"/>
  <c r="E72" i="8" s="1"/>
  <c r="B64" i="8"/>
  <c r="C64" i="8" s="1"/>
  <c r="E64" i="8" s="1"/>
  <c r="B56" i="8"/>
  <c r="C56" i="8" s="1"/>
  <c r="E56" i="8" s="1"/>
  <c r="B48" i="8"/>
  <c r="C48" i="8" s="1"/>
  <c r="E48" i="8" s="1"/>
  <c r="B32" i="8"/>
  <c r="C32" i="8" s="1"/>
  <c r="E32" i="8" s="1"/>
  <c r="B24" i="8"/>
  <c r="C24" i="8" s="1"/>
  <c r="E24" i="8" s="1"/>
  <c r="B16" i="8"/>
  <c r="C16" i="8" s="1"/>
  <c r="E16" i="8" s="1"/>
  <c r="B12" i="8"/>
  <c r="C12" i="8" s="1"/>
  <c r="E12" i="8" s="1"/>
  <c r="B90" i="8"/>
  <c r="C90" i="8" s="1"/>
  <c r="E90" i="8" s="1"/>
  <c r="B86" i="8"/>
  <c r="C86" i="8" s="1"/>
  <c r="E86" i="8" s="1"/>
  <c r="B82" i="8"/>
  <c r="C82" i="8" s="1"/>
  <c r="E82" i="8" s="1"/>
  <c r="B78" i="8"/>
  <c r="C78" i="8" s="1"/>
  <c r="E78" i="8" s="1"/>
  <c r="B74" i="8"/>
  <c r="C74" i="8" s="1"/>
  <c r="E74" i="8" s="1"/>
  <c r="B70" i="8"/>
  <c r="C70" i="8" s="1"/>
  <c r="E70" i="8" s="1"/>
  <c r="B66" i="8"/>
  <c r="C66" i="8" s="1"/>
  <c r="E66" i="8" s="1"/>
  <c r="B62" i="8"/>
  <c r="C62" i="8" s="1"/>
  <c r="E62" i="8" s="1"/>
  <c r="B58" i="8"/>
  <c r="C58" i="8" s="1"/>
  <c r="E58" i="8" s="1"/>
  <c r="B54" i="8"/>
  <c r="C54" i="8" s="1"/>
  <c r="E54" i="8" s="1"/>
  <c r="B50" i="8"/>
  <c r="C50" i="8" s="1"/>
  <c r="E50" i="8" s="1"/>
  <c r="B46" i="8"/>
  <c r="C46" i="8" s="1"/>
  <c r="E46" i="8" s="1"/>
  <c r="B42" i="8"/>
  <c r="C42" i="8" s="1"/>
  <c r="E42" i="8" s="1"/>
  <c r="B38" i="8"/>
  <c r="C38" i="8" s="1"/>
  <c r="E38" i="8" s="1"/>
  <c r="B34" i="8"/>
  <c r="C34" i="8" s="1"/>
  <c r="E34" i="8" s="1"/>
  <c r="B30" i="8"/>
  <c r="C30" i="8" s="1"/>
  <c r="E30" i="8" s="1"/>
  <c r="B26" i="8"/>
  <c r="C26" i="8" s="1"/>
  <c r="E26" i="8" s="1"/>
  <c r="B22" i="8"/>
  <c r="C22" i="8" s="1"/>
  <c r="E22" i="8" s="1"/>
  <c r="B18" i="8"/>
  <c r="C18" i="8" s="1"/>
  <c r="E18" i="8" s="1"/>
  <c r="B14" i="8"/>
  <c r="C14" i="8" s="1"/>
  <c r="E14" i="8" s="1"/>
  <c r="B10" i="8"/>
  <c r="C10" i="8" s="1"/>
  <c r="E10" i="8" s="1"/>
  <c r="E83" i="6"/>
  <c r="B83" i="1"/>
  <c r="E48" i="6"/>
  <c r="B48" i="1" s="1"/>
  <c r="E10" i="6"/>
  <c r="B10" i="1" s="1"/>
  <c r="E18" i="6"/>
  <c r="B18" i="1" s="1"/>
  <c r="E22" i="6"/>
  <c r="E25" i="6"/>
  <c r="E37" i="6"/>
  <c r="E41" i="6"/>
  <c r="B41" i="1" s="1"/>
  <c r="E53" i="6"/>
  <c r="E57" i="6"/>
  <c r="E65" i="6"/>
  <c r="E69" i="6"/>
  <c r="E49" i="6"/>
  <c r="E72" i="6"/>
  <c r="B72" i="1" s="1"/>
  <c r="E76" i="6"/>
  <c r="B76" i="1" s="1"/>
  <c r="E77" i="6"/>
  <c r="B77" i="1" s="1"/>
  <c r="E80" i="6"/>
  <c r="B80" i="1" s="1"/>
  <c r="E84" i="6"/>
  <c r="B84" i="1" s="1"/>
  <c r="E87" i="6"/>
  <c r="B36" i="1" s="1"/>
  <c r="B89" i="1"/>
  <c r="E91" i="6"/>
  <c r="B90" i="1" s="1"/>
  <c r="E92" i="6"/>
  <c r="E2" i="6"/>
  <c r="B2" i="1" s="1"/>
  <c r="D102" i="7"/>
  <c r="D237" i="7"/>
  <c r="D7" i="7"/>
  <c r="D266" i="7"/>
  <c r="D617" i="7"/>
  <c r="D502" i="7"/>
  <c r="D110" i="7"/>
  <c r="D230" i="7"/>
  <c r="D101" i="7"/>
  <c r="D211" i="7"/>
  <c r="D34" i="7"/>
  <c r="D373" i="7"/>
  <c r="D254" i="7"/>
  <c r="D245" i="7"/>
  <c r="D68" i="7"/>
  <c r="D231" i="7"/>
  <c r="D348" i="7"/>
  <c r="D100" i="7"/>
  <c r="D137" i="7"/>
  <c r="D372" i="7"/>
  <c r="D295" i="7"/>
  <c r="D164" i="7"/>
  <c r="D208" i="7"/>
  <c r="E31" i="6" s="1"/>
  <c r="B31" i="1" s="1"/>
  <c r="D293" i="7"/>
  <c r="E39" i="6" s="1"/>
  <c r="B39" i="1" s="1"/>
  <c r="D22" i="7"/>
  <c r="D334" i="7"/>
  <c r="D45" i="7"/>
  <c r="E7" i="6" s="1"/>
  <c r="B7" i="1" s="1"/>
  <c r="D726" i="7"/>
  <c r="D761" i="7"/>
  <c r="D697" i="7"/>
  <c r="D669" i="7"/>
  <c r="D760" i="7"/>
  <c r="D488" i="7"/>
  <c r="D704" i="7"/>
  <c r="D36" i="7"/>
  <c r="E5" i="6" s="1"/>
  <c r="B5" i="1" s="1"/>
  <c r="D136" i="7"/>
  <c r="D235" i="7"/>
  <c r="D455" i="7"/>
  <c r="D655" i="7"/>
  <c r="D510" i="7"/>
  <c r="D121" i="7"/>
  <c r="E19" i="6" s="1"/>
  <c r="D425" i="7"/>
  <c r="D342" i="7"/>
  <c r="D38" i="7"/>
  <c r="D439" i="7"/>
  <c r="D570" i="7"/>
  <c r="D374" i="7"/>
  <c r="D322" i="7"/>
  <c r="D446" i="7"/>
  <c r="D70" i="7"/>
  <c r="D332" i="7"/>
  <c r="D4" i="7"/>
  <c r="D641" i="7"/>
  <c r="D513" i="7"/>
  <c r="D633" i="7"/>
  <c r="D435" i="7"/>
  <c r="D353" i="7"/>
  <c r="E50" i="6" s="1"/>
  <c r="B49" i="1" s="1"/>
  <c r="D155" i="7"/>
  <c r="D171" i="7"/>
  <c r="D442" i="7"/>
  <c r="D335" i="7"/>
  <c r="D14" i="7"/>
  <c r="D16" i="7"/>
  <c r="D426" i="7"/>
  <c r="D25" i="7"/>
  <c r="D773" i="7"/>
  <c r="D774" i="7"/>
  <c r="D197" i="7"/>
  <c r="D115" i="7"/>
  <c r="D35" i="7"/>
  <c r="D105" i="7"/>
  <c r="D124" i="7"/>
  <c r="D134" i="7"/>
  <c r="D151" i="7"/>
  <c r="D152" i="7"/>
  <c r="D178" i="7"/>
  <c r="D209" i="7"/>
  <c r="D278" i="7"/>
  <c r="D311" i="7"/>
  <c r="D368" i="7"/>
  <c r="D405" i="7"/>
  <c r="D496" i="7"/>
  <c r="D517" i="7"/>
  <c r="D519" i="7"/>
  <c r="D621" i="7"/>
  <c r="D630" i="7"/>
  <c r="D639" i="7"/>
  <c r="D712" i="7"/>
  <c r="D523" i="7"/>
  <c r="D154" i="7"/>
  <c r="D50" i="7"/>
  <c r="D288" i="7"/>
  <c r="D198" i="7"/>
  <c r="D242" i="7"/>
  <c r="D528" i="7"/>
  <c r="D24" i="7"/>
  <c r="D479" i="7"/>
  <c r="D157" i="7"/>
  <c r="D62" i="7"/>
  <c r="D161" i="7"/>
  <c r="D234" i="7"/>
  <c r="D616" i="7"/>
  <c r="D632" i="7"/>
  <c r="D550" i="7"/>
  <c r="D17" i="7"/>
  <c r="D764" i="7"/>
  <c r="D673" i="7"/>
  <c r="D20" i="7"/>
  <c r="D428" i="7"/>
  <c r="D63" i="7"/>
  <c r="E11" i="6" s="1"/>
  <c r="B11" i="1" s="1"/>
  <c r="D717" i="7"/>
  <c r="D666" i="7"/>
  <c r="E82" i="6" s="1"/>
  <c r="B82" i="1" s="1"/>
  <c r="D71" i="7"/>
  <c r="D169" i="7"/>
  <c r="D679" i="7"/>
  <c r="E86" i="6" s="1"/>
  <c r="B86" i="1" s="1"/>
  <c r="D145" i="7"/>
  <c r="D286" i="7"/>
  <c r="D33" i="7"/>
  <c r="D544" i="7"/>
  <c r="D384" i="7"/>
  <c r="D588" i="7"/>
  <c r="D339" i="7"/>
  <c r="D182" i="7"/>
  <c r="E27" i="6" s="1"/>
  <c r="B27" i="1" s="1"/>
  <c r="D186" i="7"/>
  <c r="D629" i="7"/>
  <c r="D227" i="7"/>
  <c r="D84" i="7"/>
  <c r="D215" i="7"/>
  <c r="D233" i="7"/>
  <c r="D336" i="7"/>
  <c r="D636" i="7"/>
  <c r="D753" i="7"/>
  <c r="D185" i="7"/>
  <c r="D273" i="7"/>
  <c r="D590" i="7"/>
  <c r="D759" i="7"/>
  <c r="D739" i="7"/>
  <c r="D165" i="7"/>
  <c r="D262" i="7"/>
  <c r="D416" i="7"/>
  <c r="D168" i="7"/>
  <c r="E23" i="6" s="1"/>
  <c r="D221" i="7"/>
  <c r="D622" i="7"/>
  <c r="D526" i="7"/>
  <c r="D81" i="7"/>
  <c r="D86" i="7"/>
  <c r="D400" i="7"/>
  <c r="D210" i="7"/>
  <c r="D413" i="7"/>
  <c r="E56" i="6" s="1"/>
  <c r="D106" i="7"/>
  <c r="D256" i="7"/>
  <c r="D255" i="7"/>
  <c r="D123" i="7"/>
  <c r="D337" i="7"/>
  <c r="D184" i="7"/>
  <c r="D143" i="7"/>
  <c r="D32" i="7"/>
  <c r="E4" i="6" s="1"/>
  <c r="B4" i="1" s="1"/>
  <c r="D392" i="7"/>
  <c r="D188" i="7"/>
  <c r="D752" i="7"/>
  <c r="D93" i="7"/>
  <c r="D302" i="7"/>
  <c r="D537" i="7"/>
  <c r="D612" i="7"/>
  <c r="D341" i="7"/>
  <c r="D250" i="7"/>
  <c r="D749" i="7"/>
  <c r="D107" i="7"/>
  <c r="D296" i="7"/>
  <c r="D671" i="7"/>
  <c r="D445" i="7"/>
  <c r="E60" i="6" s="1"/>
  <c r="D711" i="7"/>
  <c r="D399" i="7"/>
  <c r="D370" i="7"/>
  <c r="D524" i="7"/>
  <c r="D97" i="7"/>
  <c r="D30" i="7"/>
  <c r="D271" i="7"/>
  <c r="D689" i="7"/>
  <c r="D684" i="7"/>
  <c r="D117" i="7"/>
  <c r="D236" i="7"/>
  <c r="B34" i="1" s="1"/>
  <c r="D301" i="7"/>
  <c r="E40" i="6" s="1"/>
  <c r="B40" i="1" s="1"/>
  <c r="D31" i="7"/>
  <c r="E3" i="6" s="1"/>
  <c r="B3" i="1" s="1"/>
  <c r="D613" i="7"/>
  <c r="D548" i="7"/>
  <c r="D328" i="7"/>
  <c r="D725" i="7"/>
  <c r="D89" i="7"/>
  <c r="E17" i="6" s="1"/>
  <c r="B17" i="1" s="1"/>
  <c r="D356" i="7"/>
  <c r="D42" i="7"/>
  <c r="D647" i="7"/>
  <c r="D755" i="7"/>
  <c r="D46" i="7"/>
  <c r="E8" i="6" s="1"/>
  <c r="B8" i="1" s="1"/>
  <c r="D490" i="7"/>
  <c r="D691" i="7"/>
  <c r="E62" i="6"/>
  <c r="B62" i="1" s="1"/>
  <c r="D419" i="7"/>
  <c r="D85" i="7"/>
  <c r="B16" i="1" s="1"/>
  <c r="D677" i="7"/>
  <c r="D461" i="7"/>
  <c r="E63" i="6" s="1"/>
  <c r="D268" i="7"/>
  <c r="D109" i="7"/>
  <c r="D73" i="7"/>
  <c r="D83" i="7"/>
  <c r="B15" i="1" s="1"/>
  <c r="D448" i="7"/>
  <c r="E61" i="6" s="1"/>
  <c r="D572" i="7"/>
  <c r="D714" i="7"/>
  <c r="D665" i="7"/>
  <c r="D147" i="7"/>
  <c r="D177" i="7"/>
  <c r="E26" i="6" s="1"/>
  <c r="D129" i="7"/>
  <c r="D493" i="7"/>
  <c r="E66" i="6" s="1"/>
  <c r="D28" i="7"/>
  <c r="D56" i="7"/>
  <c r="D257" i="7"/>
  <c r="D3" i="7"/>
  <c r="D672" i="7"/>
  <c r="D170" i="7"/>
  <c r="D294" i="7"/>
  <c r="D447" i="7"/>
  <c r="D489" i="7"/>
  <c r="D604" i="7"/>
  <c r="D710" i="7"/>
  <c r="D88" i="7"/>
  <c r="D304" i="7"/>
  <c r="D610" i="7"/>
  <c r="D512" i="7"/>
  <c r="D383" i="7"/>
  <c r="D552" i="7"/>
  <c r="D192" i="7"/>
  <c r="E29" i="6" s="1"/>
  <c r="B29" i="1" s="1"/>
  <c r="D536" i="7"/>
  <c r="D387" i="7"/>
  <c r="D557" i="7"/>
  <c r="D618" i="7"/>
  <c r="D55" i="7"/>
  <c r="D324" i="7"/>
  <c r="D730" i="7"/>
  <c r="D127" i="7"/>
  <c r="D624" i="7"/>
  <c r="D359" i="7"/>
  <c r="E51" i="6" s="1"/>
  <c r="B50" i="1" s="1"/>
  <c r="D116" i="7"/>
  <c r="D414" i="7"/>
  <c r="D431" i="7"/>
  <c r="D701" i="7"/>
  <c r="D76" i="7"/>
  <c r="E13" i="6" s="1"/>
  <c r="B13" i="1" s="1"/>
  <c r="D65" i="7"/>
  <c r="D709" i="7"/>
  <c r="E90" i="6" s="1"/>
  <c r="B88" i="1" s="1"/>
  <c r="D501" i="7"/>
  <c r="E68" i="6" s="1"/>
  <c r="D244" i="7"/>
  <c r="E35" i="6" s="1"/>
  <c r="B35" i="1" s="1"/>
  <c r="D90" i="7"/>
  <c r="D421" i="7"/>
  <c r="D743" i="7"/>
  <c r="D228" i="7"/>
  <c r="D367" i="7"/>
  <c r="E52" i="6" s="1"/>
  <c r="D360" i="7"/>
  <c r="D212" i="7"/>
  <c r="E32" i="6" s="1"/>
  <c r="B32" i="1" s="1"/>
  <c r="D321" i="7"/>
  <c r="E45" i="6" s="1"/>
  <c r="B45" i="1" s="1"/>
  <c r="D412" i="7"/>
  <c r="D5" i="7"/>
  <c r="D685" i="7"/>
  <c r="D317" i="7"/>
  <c r="D628" i="7"/>
  <c r="E81" i="6" s="1"/>
  <c r="B81" i="1" s="1"/>
  <c r="D64" i="7"/>
  <c r="E12" i="6" s="1"/>
  <c r="B12" i="1" s="1"/>
  <c r="E75" i="6"/>
  <c r="B75" i="1" s="1"/>
  <c r="D181" i="7"/>
  <c r="D509" i="7"/>
  <c r="D667" i="7"/>
  <c r="D722" i="7"/>
  <c r="D648" i="7"/>
  <c r="D9" i="7"/>
  <c r="D369" i="7"/>
  <c r="D676" i="7"/>
  <c r="E85" i="6" s="1"/>
  <c r="B85" i="1" s="1"/>
  <c r="D731" i="7"/>
  <c r="E95" i="6" s="1"/>
  <c r="B94" i="1" s="1"/>
  <c r="D354" i="7"/>
  <c r="D306" i="7"/>
  <c r="D401" i="7"/>
  <c r="D11" i="7"/>
  <c r="D605" i="7"/>
  <c r="D108" i="7"/>
  <c r="D627" i="7"/>
  <c r="D79" i="7"/>
  <c r="E14" i="6" s="1"/>
  <c r="B14" i="1" s="1"/>
  <c r="D23" i="7"/>
  <c r="D289" i="7"/>
  <c r="E38" i="6" s="1"/>
  <c r="B38" i="1" s="1"/>
  <c r="D555" i="7"/>
  <c r="D331" i="7"/>
  <c r="E47" i="6" s="1"/>
  <c r="B47" i="1" s="1"/>
  <c r="D547" i="7"/>
  <c r="D674" i="7"/>
  <c r="D37" i="7"/>
  <c r="D652" i="7"/>
  <c r="D67" i="7"/>
  <c r="D131" i="7"/>
  <c r="E20" i="6" s="1"/>
  <c r="D133" i="7"/>
  <c r="E21" i="6" s="1"/>
  <c r="D589" i="7"/>
  <c r="E73" i="6" s="1"/>
  <c r="B73" i="1" s="1"/>
  <c r="D224" i="7"/>
  <c r="E33" i="6" s="1"/>
  <c r="B33" i="1" s="1"/>
  <c r="D357" i="7"/>
  <c r="D729" i="7"/>
  <c r="E94" i="6" s="1"/>
  <c r="B93" i="1" s="1"/>
  <c r="D199" i="7"/>
  <c r="E30" i="6" s="1"/>
  <c r="B30" i="1" s="1"/>
  <c r="D437" i="7"/>
  <c r="D329" i="7"/>
  <c r="E46" i="6" s="1"/>
  <c r="B46" i="1" s="1"/>
  <c r="D98" i="7"/>
  <c r="D202" i="7"/>
  <c r="D727" i="7"/>
  <c r="D241" i="7"/>
  <c r="D200" i="7"/>
  <c r="D410" i="7"/>
  <c r="D482" i="7"/>
  <c r="D72" i="7"/>
  <c r="D475" i="7"/>
  <c r="D741" i="7"/>
  <c r="E97" i="6" s="1"/>
  <c r="B96" i="1" s="1"/>
  <c r="D49" i="7"/>
  <c r="B9" i="1" s="1"/>
  <c r="D58" i="7"/>
  <c r="D183" i="7"/>
  <c r="D754" i="7"/>
  <c r="D344" i="7"/>
  <c r="D686" i="7"/>
  <c r="D716" i="7"/>
  <c r="E58" i="6"/>
  <c r="D626" i="7"/>
  <c r="E79" i="6" s="1"/>
  <c r="B79" i="1" s="1"/>
  <c r="D705" i="7"/>
  <c r="D160" i="7"/>
  <c r="D744" i="7"/>
  <c r="E98" i="6" s="1"/>
  <c r="B97" i="1" s="1"/>
  <c r="D74" i="7"/>
  <c r="D553" i="7"/>
  <c r="D429" i="7"/>
  <c r="D594" i="7"/>
  <c r="D687" i="7"/>
  <c r="D432" i="7"/>
  <c r="D12" i="7"/>
  <c r="D13" i="7"/>
  <c r="D80" i="7"/>
  <c r="D724" i="7"/>
  <c r="D323" i="7"/>
  <c r="D634" i="7"/>
  <c r="D568" i="7"/>
  <c r="D427" i="7"/>
  <c r="D218" i="7"/>
  <c r="D314" i="7"/>
  <c r="D564" i="7"/>
  <c r="D307" i="7"/>
  <c r="E42" i="6" s="1"/>
  <c r="B42" i="1" s="1"/>
  <c r="D476" i="7"/>
  <c r="D718" i="7"/>
  <c r="D226" i="7"/>
  <c r="D578" i="7"/>
  <c r="D403" i="7"/>
  <c r="D316" i="7"/>
  <c r="D330" i="7"/>
  <c r="D326" i="7"/>
  <c r="D481" i="7"/>
  <c r="D595" i="7"/>
  <c r="D534" i="7"/>
  <c r="D92" i="7"/>
  <c r="D742" i="7"/>
  <c r="D651" i="7"/>
  <c r="D487" i="7"/>
  <c r="D561" i="7"/>
  <c r="D26" i="7"/>
  <c r="D27" i="7"/>
  <c r="D39" i="7"/>
  <c r="E6" i="6" s="1"/>
  <c r="B6" i="1" s="1"/>
  <c r="D606" i="7"/>
  <c r="D41" i="7"/>
  <c r="D60" i="7"/>
  <c r="D61" i="7"/>
  <c r="D69" i="7"/>
  <c r="D78" i="7"/>
  <c r="D82" i="7"/>
  <c r="D95" i="7"/>
  <c r="D99" i="7"/>
  <c r="D113" i="7"/>
  <c r="D118" i="7"/>
  <c r="D119" i="7"/>
  <c r="D122" i="7"/>
  <c r="D313" i="7"/>
  <c r="D735" i="7"/>
  <c r="B95" i="1" s="1"/>
  <c r="D2" i="7"/>
  <c r="D6" i="7"/>
  <c r="D662" i="7"/>
  <c r="D8" i="7"/>
  <c r="D10" i="7"/>
  <c r="D15" i="7"/>
  <c r="D19" i="7"/>
  <c r="D21" i="7"/>
  <c r="D29" i="7"/>
  <c r="D43" i="7"/>
  <c r="D47" i="7"/>
  <c r="D51" i="7"/>
  <c r="D59" i="7"/>
  <c r="D66" i="7"/>
  <c r="D75" i="7"/>
  <c r="D664" i="7"/>
  <c r="D646" i="7"/>
  <c r="D87" i="7"/>
  <c r="D94" i="7"/>
  <c r="D103" i="7"/>
  <c r="D104" i="7"/>
  <c r="D120" i="7"/>
  <c r="D125" i="7"/>
  <c r="D130" i="7"/>
  <c r="D132" i="7"/>
  <c r="D355" i="7"/>
  <c r="D138" i="7"/>
  <c r="D139" i="7"/>
  <c r="D140" i="7"/>
  <c r="D141" i="7"/>
  <c r="D146" i="7"/>
  <c r="D670" i="7"/>
  <c r="D148" i="7"/>
  <c r="D149" i="7"/>
  <c r="D150" i="7"/>
  <c r="D153" i="7"/>
  <c r="D159" i="7"/>
  <c r="D163" i="7"/>
  <c r="D166" i="7"/>
  <c r="D173" i="7"/>
  <c r="D174" i="7"/>
  <c r="D175" i="7"/>
  <c r="D179" i="7"/>
  <c r="D180" i="7"/>
  <c r="D187" i="7"/>
  <c r="E28" i="6" s="1"/>
  <c r="B28" i="1" s="1"/>
  <c r="D189" i="7"/>
  <c r="D190" i="7"/>
  <c r="D194" i="7"/>
  <c r="D195" i="7"/>
  <c r="D205" i="7"/>
  <c r="D207" i="7"/>
  <c r="D214" i="7"/>
  <c r="D217" i="7"/>
  <c r="D219" i="7"/>
  <c r="D220" i="7"/>
  <c r="D222" i="7"/>
  <c r="D225" i="7"/>
  <c r="D229" i="7"/>
  <c r="D238" i="7"/>
  <c r="D239" i="7"/>
  <c r="D240" i="7"/>
  <c r="D243" i="7"/>
  <c r="D246" i="7"/>
  <c r="D251" i="7"/>
  <c r="D252" i="7"/>
  <c r="D259" i="7"/>
  <c r="D264" i="7"/>
  <c r="D270" i="7"/>
  <c r="D272" i="7"/>
  <c r="D274" i="7"/>
  <c r="D275" i="7"/>
  <c r="E36" i="6" s="1"/>
  <c r="B37" i="1" s="1"/>
  <c r="D276" i="7"/>
  <c r="D277" i="7"/>
  <c r="D279" i="7"/>
  <c r="D281" i="7"/>
  <c r="D283" i="7"/>
  <c r="D287" i="7"/>
  <c r="D290" i="7"/>
  <c r="D291" i="7"/>
  <c r="D297" i="7"/>
  <c r="D298" i="7"/>
  <c r="D299" i="7"/>
  <c r="D300" i="7"/>
  <c r="D308" i="7"/>
  <c r="D310" i="7"/>
  <c r="D312" i="7"/>
  <c r="E43" i="6" s="1"/>
  <c r="B43" i="1" s="1"/>
  <c r="D320" i="7"/>
  <c r="E44" i="6" s="1"/>
  <c r="B44" i="1" s="1"/>
  <c r="D325" i="7"/>
  <c r="D327" i="7"/>
  <c r="D345" i="7"/>
  <c r="D347" i="7"/>
  <c r="D349" i="7"/>
  <c r="D350" i="7"/>
  <c r="D358" i="7"/>
  <c r="D362" i="7"/>
  <c r="D363" i="7"/>
  <c r="D364" i="7"/>
  <c r="D376" i="7"/>
  <c r="D377" i="7"/>
  <c r="E54" i="6" s="1"/>
  <c r="B53" i="1" s="1"/>
  <c r="D378" i="7"/>
  <c r="D385" i="7"/>
  <c r="E55" i="6" s="1"/>
  <c r="D389" i="7"/>
  <c r="D390" i="7"/>
  <c r="D394" i="7"/>
  <c r="D396" i="7"/>
  <c r="D406" i="7"/>
  <c r="D407" i="7"/>
  <c r="D409" i="7"/>
  <c r="D411" i="7"/>
  <c r="D417" i="7"/>
  <c r="D424" i="7"/>
  <c r="D430" i="7"/>
  <c r="D433" i="7"/>
  <c r="D436" i="7"/>
  <c r="D438" i="7"/>
  <c r="D440" i="7"/>
  <c r="E59" i="6" s="1"/>
  <c r="B58" i="1" s="1"/>
  <c r="D441" i="7"/>
  <c r="D443" i="7"/>
  <c r="D449" i="7"/>
  <c r="D452" i="7"/>
  <c r="D456" i="7"/>
  <c r="D457" i="7"/>
  <c r="D458" i="7"/>
  <c r="D459" i="7"/>
  <c r="D460" i="7"/>
  <c r="D462" i="7"/>
  <c r="D464" i="7"/>
  <c r="D465" i="7"/>
  <c r="D466" i="7"/>
  <c r="D467" i="7"/>
  <c r="D468" i="7"/>
  <c r="D469" i="7"/>
  <c r="D470" i="7"/>
  <c r="D471" i="7"/>
  <c r="D472" i="7"/>
  <c r="D473" i="7"/>
  <c r="D474" i="7"/>
  <c r="D480" i="7"/>
  <c r="D483" i="7"/>
  <c r="E64" i="6" s="1"/>
  <c r="B63" i="1" s="1"/>
  <c r="D484" i="7"/>
  <c r="D485" i="7"/>
  <c r="D491" i="7"/>
  <c r="D492" i="7"/>
  <c r="D498" i="7"/>
  <c r="D499" i="7"/>
  <c r="E67" i="6" s="1"/>
  <c r="D504" i="7"/>
  <c r="D505" i="7"/>
  <c r="D506" i="7"/>
  <c r="D508" i="7"/>
  <c r="D511" i="7"/>
  <c r="D514" i="7"/>
  <c r="D515" i="7"/>
  <c r="D516" i="7"/>
  <c r="D518" i="7"/>
  <c r="D520" i="7"/>
  <c r="D522" i="7"/>
  <c r="D525" i="7"/>
  <c r="D527" i="7"/>
  <c r="D721" i="7"/>
  <c r="E93" i="6" s="1"/>
  <c r="B92" i="1" s="1"/>
  <c r="D529" i="7"/>
  <c r="D530" i="7"/>
  <c r="D532" i="7"/>
  <c r="D538" i="7"/>
  <c r="D539" i="7"/>
  <c r="E70" i="6" s="1"/>
  <c r="D540" i="7"/>
  <c r="D541" i="7"/>
  <c r="D542" i="7"/>
  <c r="D543" i="7"/>
  <c r="D546" i="7"/>
  <c r="D675" i="7"/>
  <c r="D549" i="7"/>
  <c r="D551" i="7"/>
  <c r="D554" i="7"/>
  <c r="E71" i="6" s="1"/>
  <c r="D556" i="7"/>
  <c r="D559" i="7"/>
  <c r="D562" i="7"/>
  <c r="D565" i="7"/>
  <c r="D567" i="7"/>
  <c r="D569" i="7"/>
  <c r="D571" i="7"/>
  <c r="D574" i="7"/>
  <c r="D575" i="7"/>
  <c r="D577" i="7"/>
  <c r="D579" i="7"/>
  <c r="D581" i="7"/>
  <c r="D583" i="7"/>
  <c r="D584" i="7"/>
  <c r="D585" i="7"/>
  <c r="D591" i="7"/>
  <c r="D592" i="7"/>
  <c r="E74" i="6"/>
  <c r="B74" i="1" s="1"/>
  <c r="D598" i="7"/>
  <c r="D601" i="7"/>
  <c r="D602" i="7"/>
  <c r="D603" i="7"/>
  <c r="D620" i="7"/>
  <c r="D623" i="7"/>
  <c r="D625" i="7"/>
  <c r="D637" i="7"/>
  <c r="D638" i="7"/>
  <c r="D642" i="7"/>
  <c r="D644" i="7"/>
  <c r="D645" i="7"/>
  <c r="D649" i="7"/>
  <c r="D656" i="7"/>
  <c r="D657" i="7"/>
  <c r="D659" i="7"/>
  <c r="D660" i="7"/>
  <c r="D683" i="7"/>
  <c r="D688" i="7"/>
  <c r="D693" i="7"/>
  <c r="D694" i="7"/>
  <c r="D695" i="7"/>
  <c r="D696" i="7"/>
  <c r="D698" i="7"/>
  <c r="D703" i="7"/>
  <c r="D706" i="7"/>
  <c r="D707" i="7"/>
  <c r="D713" i="7"/>
  <c r="D715" i="7"/>
  <c r="D719" i="7"/>
  <c r="D720" i="7"/>
  <c r="D723" i="7"/>
  <c r="D728" i="7"/>
  <c r="D733" i="7"/>
  <c r="D734" i="7"/>
  <c r="D736" i="7"/>
  <c r="D738" i="7"/>
  <c r="D740" i="7"/>
  <c r="D745" i="7"/>
  <c r="D680" i="7"/>
  <c r="D746" i="7"/>
  <c r="D747" i="7"/>
  <c r="D748" i="7"/>
  <c r="D156" i="7"/>
  <c r="D756" i="7"/>
  <c r="D757" i="7"/>
  <c r="D758" i="7"/>
  <c r="D681" i="7"/>
  <c r="D762" i="7"/>
  <c r="D763" i="7"/>
  <c r="D767" i="7"/>
  <c r="D768" i="7"/>
  <c r="D769" i="7"/>
  <c r="D772" i="7"/>
  <c r="D776" i="7"/>
  <c r="D395" i="7"/>
  <c r="D213" i="7"/>
  <c r="D18" i="7"/>
  <c r="D750" i="7"/>
  <c r="D44" i="7"/>
  <c r="D48" i="7"/>
  <c r="D54" i="7"/>
  <c r="D91" i="7"/>
  <c r="D126" i="7"/>
  <c r="D135" i="7"/>
  <c r="D176" i="7"/>
  <c r="D191" i="7"/>
  <c r="D206" i="7"/>
  <c r="D253" i="7"/>
  <c r="D282" i="7"/>
  <c r="D315" i="7"/>
  <c r="D318" i="7"/>
  <c r="D379" i="7"/>
  <c r="D380" i="7"/>
  <c r="D381" i="7"/>
  <c r="D398" i="7"/>
  <c r="D408" i="7"/>
  <c r="D420" i="7"/>
  <c r="D765" i="7"/>
  <c r="D495" i="7"/>
  <c r="D533" i="7"/>
  <c r="D558" i="7"/>
  <c r="D580" i="7"/>
  <c r="D586" i="7"/>
  <c r="D597" i="7"/>
  <c r="D609" i="7"/>
  <c r="D611" i="7"/>
  <c r="D619" i="7"/>
  <c r="D653" i="7"/>
  <c r="D658" i="7"/>
  <c r="D690" i="7"/>
  <c r="D699" i="7"/>
  <c r="D702" i="7"/>
  <c r="D766" i="7"/>
  <c r="D771" i="7"/>
  <c r="D57" i="7"/>
  <c r="D96" i="7"/>
  <c r="D128" i="7"/>
  <c r="D144" i="7"/>
  <c r="D158" i="7"/>
  <c r="D201" i="7"/>
  <c r="D204" i="7"/>
  <c r="D216" i="7"/>
  <c r="D232" i="7"/>
  <c r="D258" i="7"/>
  <c r="D261" i="7"/>
  <c r="D263" i="7"/>
  <c r="D269" i="7"/>
  <c r="D292" i="7"/>
  <c r="D303" i="7"/>
  <c r="D343" i="7"/>
  <c r="D366" i="7"/>
  <c r="D371" i="7"/>
  <c r="D382" i="7"/>
  <c r="D386" i="7"/>
  <c r="D391" i="7"/>
  <c r="D678" i="7"/>
  <c r="D486" i="7"/>
  <c r="D503" i="7"/>
  <c r="D507" i="7"/>
  <c r="D521" i="7"/>
  <c r="D535" i="7"/>
  <c r="D566" i="7"/>
  <c r="D573" i="7"/>
  <c r="D582" i="7"/>
  <c r="D587" i="7"/>
  <c r="D607" i="7"/>
  <c r="D608" i="7"/>
  <c r="D615" i="7"/>
  <c r="E78" i="6" s="1"/>
  <c r="B78" i="1" s="1"/>
  <c r="D631" i="7"/>
  <c r="D654" i="7"/>
  <c r="D692" i="7"/>
  <c r="D732" i="7"/>
  <c r="D737" i="7"/>
  <c r="D770" i="7"/>
  <c r="D40" i="7"/>
  <c r="D77" i="7"/>
  <c r="D162" i="7"/>
  <c r="D248" i="7"/>
  <c r="D388" i="7"/>
  <c r="D393" i="7"/>
  <c r="D422" i="7"/>
  <c r="D463" i="7"/>
  <c r="D494" i="7"/>
  <c r="D497" i="7"/>
  <c r="D751" i="7"/>
  <c r="D600" i="7"/>
  <c r="D478" i="7"/>
  <c r="D249" i="7"/>
  <c r="D576" i="7"/>
  <c r="D365" i="7"/>
  <c r="D663" i="7"/>
  <c r="D775" i="7"/>
  <c r="D668" i="7"/>
  <c r="D423" i="7"/>
  <c r="D305" i="7"/>
  <c r="D444" i="7"/>
  <c r="D319" i="7"/>
  <c r="D223" i="7"/>
  <c r="D453" i="7"/>
  <c r="D614" i="7"/>
  <c r="D500" i="7"/>
  <c r="D167" i="7"/>
  <c r="D172" i="7"/>
  <c r="E24" i="6" s="1"/>
  <c r="B23" i="1" s="1"/>
  <c r="D114" i="7"/>
  <c r="D280" i="7"/>
  <c r="D451" i="7"/>
  <c r="D477" i="7"/>
  <c r="D284" i="7"/>
  <c r="D142" i="7"/>
  <c r="D531" i="7"/>
  <c r="D404" i="7"/>
  <c r="D682" i="7"/>
  <c r="D203" i="7"/>
  <c r="D285" i="7"/>
  <c r="D265" i="7"/>
  <c r="D375" i="7"/>
  <c r="D708" i="7"/>
  <c r="D260" i="7"/>
  <c r="D454" i="7"/>
  <c r="D650" i="7"/>
  <c r="D661" i="7"/>
  <c r="D563" i="7"/>
  <c r="D338" i="7"/>
  <c r="D700" i="7"/>
  <c r="D635" i="7"/>
  <c r="D640" i="7"/>
  <c r="D309" i="7"/>
  <c r="D643" i="7"/>
  <c r="D560" i="7"/>
  <c r="D333" i="7"/>
  <c r="D418" i="7"/>
  <c r="D415" i="7"/>
  <c r="D53" i="7"/>
  <c r="D267" i="7"/>
  <c r="D361" i="7"/>
  <c r="D112" i="7"/>
  <c r="D397" i="7"/>
  <c r="D351" i="7"/>
  <c r="D247" i="7"/>
  <c r="D402" i="7"/>
  <c r="D599" i="7"/>
  <c r="D52" i="7"/>
  <c r="D196" i="7"/>
  <c r="D111" i="7"/>
  <c r="D193" i="7"/>
  <c r="D352" i="7"/>
  <c r="D346" i="7"/>
  <c r="D545" i="7"/>
  <c r="A3" i="1"/>
  <c r="A4" i="1"/>
  <c r="A5" i="1"/>
  <c r="A6" i="1"/>
  <c r="A7" i="1"/>
  <c r="A8" i="1"/>
  <c r="A9" i="1"/>
  <c r="A10" i="1"/>
  <c r="A11" i="1"/>
  <c r="A12" i="1"/>
  <c r="A14" i="1"/>
  <c r="A15" i="1"/>
  <c r="A16" i="1"/>
  <c r="A17" i="1"/>
  <c r="A18" i="1"/>
  <c r="A19" i="1"/>
  <c r="A20" i="1"/>
  <c r="A21" i="1"/>
  <c r="A22" i="1"/>
  <c r="A23" i="1"/>
  <c r="A25" i="1"/>
  <c r="A26" i="1"/>
  <c r="A27" i="1"/>
  <c r="A28" i="1"/>
  <c r="A29" i="1"/>
  <c r="A30" i="1"/>
  <c r="A31" i="1"/>
  <c r="A32" i="1"/>
  <c r="A33" i="1"/>
  <c r="A34" i="1"/>
  <c r="A35" i="1"/>
  <c r="A37" i="1"/>
  <c r="A38" i="1"/>
  <c r="A39" i="1"/>
  <c r="A40" i="1"/>
  <c r="A41" i="1"/>
  <c r="A42" i="1"/>
  <c r="A43" i="1"/>
  <c r="A44" i="1"/>
  <c r="A46" i="1"/>
  <c r="A47" i="1"/>
  <c r="A48" i="1"/>
  <c r="A49" i="1"/>
  <c r="A50" i="1"/>
  <c r="A51" i="1"/>
  <c r="A52" i="1"/>
  <c r="A53" i="1"/>
  <c r="A54" i="1"/>
  <c r="A55" i="1"/>
  <c r="A56" i="1"/>
  <c r="A57" i="1"/>
  <c r="A58" i="1"/>
  <c r="A59" i="1"/>
  <c r="A60" i="1"/>
  <c r="A61" i="1"/>
  <c r="A62" i="1"/>
  <c r="A63" i="1"/>
  <c r="A64" i="1"/>
  <c r="A65" i="1"/>
  <c r="A66" i="1"/>
  <c r="A67" i="1"/>
  <c r="A68" i="1"/>
  <c r="A69" i="1"/>
  <c r="A71" i="1"/>
  <c r="A72" i="1"/>
  <c r="A73" i="1"/>
  <c r="A74" i="1"/>
  <c r="A75" i="1"/>
  <c r="A76" i="1"/>
  <c r="A77" i="1"/>
  <c r="A78" i="1"/>
  <c r="A79" i="1"/>
  <c r="A80" i="1"/>
  <c r="A81" i="1"/>
  <c r="A82" i="1"/>
  <c r="A83" i="1"/>
  <c r="A84" i="1"/>
  <c r="A85" i="1"/>
  <c r="A86" i="1"/>
  <c r="A87" i="1"/>
  <c r="A89" i="1"/>
  <c r="A88" i="1"/>
  <c r="A90" i="1"/>
  <c r="A91" i="1"/>
  <c r="A92" i="1"/>
  <c r="A93" i="1"/>
  <c r="A94" i="1"/>
  <c r="A95" i="1"/>
  <c r="A96" i="1"/>
  <c r="A97" i="1"/>
  <c r="H9" i="1"/>
  <c r="H23" i="1"/>
  <c r="H83" i="1"/>
  <c r="H32" i="1"/>
  <c r="H35" i="1"/>
  <c r="H15" i="1"/>
  <c r="H95" i="1"/>
  <c r="H94" i="1"/>
  <c r="H34" i="1"/>
  <c r="H42" i="1"/>
  <c r="H4" i="1"/>
  <c r="H62" i="1"/>
  <c r="B20" i="1" l="1"/>
  <c r="B17" i="8"/>
  <c r="C17" i="8" s="1"/>
  <c r="E17" i="8" s="1"/>
  <c r="H4" i="8" s="1"/>
  <c r="B25" i="1"/>
  <c r="B57" i="1"/>
  <c r="B64" i="1"/>
  <c r="B21" i="1"/>
  <c r="B66" i="1"/>
  <c r="B54" i="1"/>
  <c r="B51" i="1"/>
  <c r="B68" i="1"/>
  <c r="B70" i="1"/>
  <c r="B59" i="1"/>
  <c r="B24" i="1"/>
  <c r="B69" i="1"/>
  <c r="B60" i="1"/>
  <c r="B67" i="1"/>
  <c r="B65" i="1"/>
  <c r="B61" i="1"/>
  <c r="B55" i="1"/>
  <c r="B22" i="1"/>
  <c r="B56" i="1"/>
  <c r="B19" i="1"/>
  <c r="B71" i="1"/>
  <c r="B52" i="1"/>
  <c r="B26" i="1"/>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C2" i="6"/>
  <c r="E2" i="1" s="1"/>
  <c r="C3" i="6"/>
  <c r="E3" i="1" s="1"/>
  <c r="C4" i="6"/>
  <c r="E4" i="1" s="1"/>
  <c r="C5" i="6"/>
  <c r="E5" i="1" s="1"/>
  <c r="C6" i="6"/>
  <c r="E6" i="1" s="1"/>
  <c r="C8" i="6"/>
  <c r="E8" i="1" s="1"/>
  <c r="C9" i="6"/>
  <c r="E9" i="1" s="1"/>
  <c r="C12" i="6"/>
  <c r="E12" i="1" s="1"/>
  <c r="C13" i="6"/>
  <c r="E13" i="1" s="1"/>
  <c r="C14" i="6"/>
  <c r="E14" i="1" s="1"/>
  <c r="C15" i="6"/>
  <c r="E15" i="1" s="1"/>
  <c r="C16" i="6"/>
  <c r="E16" i="1" s="1"/>
  <c r="C19" i="6"/>
  <c r="E19" i="1" s="1"/>
  <c r="C20" i="6"/>
  <c r="E20" i="1" s="1"/>
  <c r="C23" i="6"/>
  <c r="E23" i="1" s="1"/>
  <c r="C26" i="6"/>
  <c r="E26" i="1" s="1"/>
  <c r="C27" i="6"/>
  <c r="E27" i="1" s="1"/>
  <c r="C28" i="6"/>
  <c r="E28" i="1" s="1"/>
  <c r="C30" i="6"/>
  <c r="E30" i="1" s="1"/>
  <c r="C31" i="6"/>
  <c r="E31" i="1" s="1"/>
  <c r="C33" i="6"/>
  <c r="E33" i="1" s="1"/>
  <c r="C34" i="6"/>
  <c r="E34" i="1" s="1"/>
  <c r="C37" i="6"/>
  <c r="C38" i="6"/>
  <c r="E38" i="1" s="1"/>
  <c r="C40" i="6"/>
  <c r="E40" i="1" s="1"/>
  <c r="C41" i="6"/>
  <c r="E41" i="1" s="1"/>
  <c r="C45" i="6"/>
  <c r="E45" i="1" s="1"/>
  <c r="C46" i="6"/>
  <c r="E46" i="1" s="1"/>
  <c r="C51" i="6"/>
  <c r="E51" i="1" s="1"/>
  <c r="C52" i="6"/>
  <c r="E52" i="1" s="1"/>
  <c r="C53" i="6"/>
  <c r="E53" i="1" s="1"/>
  <c r="C54" i="6"/>
  <c r="E54" i="1" s="1"/>
  <c r="C55" i="6"/>
  <c r="E55" i="1" s="1"/>
  <c r="C56" i="6"/>
  <c r="E56" i="1" s="1"/>
  <c r="C57" i="6"/>
  <c r="E57" i="1" s="1"/>
  <c r="C58" i="6"/>
  <c r="E58" i="1" s="1"/>
  <c r="C61" i="6"/>
  <c r="E61" i="1" s="1"/>
  <c r="C63" i="6"/>
  <c r="E63" i="1" s="1"/>
  <c r="C64" i="6"/>
  <c r="E64" i="1" s="1"/>
  <c r="C66" i="6"/>
  <c r="E66" i="1" s="1"/>
  <c r="C67" i="6"/>
  <c r="E67" i="1" s="1"/>
  <c r="C49" i="6"/>
  <c r="E49" i="1" s="1"/>
  <c r="C72" i="6"/>
  <c r="E72" i="1" s="1"/>
  <c r="C73" i="6"/>
  <c r="E73" i="1" s="1"/>
  <c r="C74" i="6"/>
  <c r="E74" i="1" s="1"/>
  <c r="C75" i="6"/>
  <c r="E75" i="1" s="1"/>
  <c r="C76" i="6"/>
  <c r="E76" i="1" s="1"/>
  <c r="C77" i="6"/>
  <c r="E77" i="1" s="1"/>
  <c r="C79" i="6"/>
  <c r="E79" i="1" s="1"/>
  <c r="C80" i="6"/>
  <c r="E80" i="1" s="1"/>
  <c r="C81" i="6"/>
  <c r="E81" i="1" s="1"/>
  <c r="C82" i="6"/>
  <c r="E82" i="1" s="1"/>
  <c r="C83" i="6"/>
  <c r="E83" i="1" s="1"/>
  <c r="C85" i="6"/>
  <c r="E85" i="1" s="1"/>
  <c r="C86" i="6"/>
  <c r="E86" i="1" s="1"/>
  <c r="C91" i="6"/>
  <c r="E90" i="1" s="1"/>
  <c r="C92" i="6"/>
  <c r="E91" i="1" s="1"/>
  <c r="E55" i="5"/>
  <c r="G55" i="5" s="1"/>
  <c r="E119" i="5"/>
  <c r="G119" i="5" s="1"/>
  <c r="E114" i="5"/>
  <c r="G114" i="5" s="1"/>
  <c r="E122" i="5"/>
  <c r="G122" i="5" s="1"/>
  <c r="E99" i="5"/>
  <c r="G99" i="5" s="1"/>
  <c r="E86" i="5"/>
  <c r="G86" i="5" s="1"/>
  <c r="E85" i="5"/>
  <c r="G85" i="5" s="1"/>
  <c r="E74" i="5"/>
  <c r="G74" i="5" s="1"/>
  <c r="E42" i="5"/>
  <c r="G42" i="5" s="1"/>
  <c r="E38" i="5"/>
  <c r="G38" i="5" s="1"/>
  <c r="E34" i="5"/>
  <c r="G34" i="5" s="1"/>
  <c r="E33" i="5"/>
  <c r="G33" i="5" s="1"/>
  <c r="E11" i="5"/>
  <c r="G11" i="5" s="1"/>
  <c r="E4" i="5"/>
  <c r="G4" i="5" s="1"/>
  <c r="E135" i="5"/>
  <c r="G135" i="5" s="1"/>
  <c r="E134" i="5"/>
  <c r="E133" i="5"/>
  <c r="G133" i="5" s="1"/>
  <c r="E110" i="5"/>
  <c r="G110" i="5" s="1"/>
  <c r="E121" i="5"/>
  <c r="E98" i="5"/>
  <c r="E129" i="5"/>
  <c r="G129" i="5" s="1"/>
  <c r="E93" i="5"/>
  <c r="G93" i="5" s="1"/>
  <c r="E84" i="5"/>
  <c r="G84" i="5" s="1"/>
  <c r="E83" i="5"/>
  <c r="E78" i="5"/>
  <c r="G78" i="5" s="1"/>
  <c r="E62" i="5"/>
  <c r="G62" i="5" s="1"/>
  <c r="E54" i="5"/>
  <c r="G54" i="5" s="1"/>
  <c r="E32" i="5"/>
  <c r="G32" i="5" s="1"/>
  <c r="E23" i="5"/>
  <c r="G23" i="5" s="1"/>
  <c r="E117" i="5"/>
  <c r="G117" i="5" s="1"/>
  <c r="E104" i="5"/>
  <c r="G104" i="5" s="1"/>
  <c r="E90" i="5"/>
  <c r="G90" i="5" s="1"/>
  <c r="E88" i="5"/>
  <c r="G88" i="5" s="1"/>
  <c r="E66" i="5"/>
  <c r="G66" i="5" s="1"/>
  <c r="E59" i="5"/>
  <c r="G59" i="5" s="1"/>
  <c r="E58" i="5"/>
  <c r="G58" i="5" s="1"/>
  <c r="E49" i="5"/>
  <c r="G49" i="5" s="1"/>
  <c r="E44" i="5"/>
  <c r="G44" i="5" s="1"/>
  <c r="E25" i="5"/>
  <c r="G25" i="5" s="1"/>
  <c r="E36" i="5"/>
  <c r="G36" i="5" s="1"/>
  <c r="E31" i="5"/>
  <c r="E27" i="5"/>
  <c r="G27" i="5" s="1"/>
  <c r="E26" i="5"/>
  <c r="G26" i="5" s="1"/>
  <c r="E107" i="5"/>
  <c r="G107" i="5" s="1"/>
  <c r="E109" i="5"/>
  <c r="E22" i="5"/>
  <c r="E3" i="5"/>
  <c r="G3" i="5" s="1"/>
  <c r="E19" i="5"/>
  <c r="G19" i="5" s="1"/>
  <c r="E8" i="5"/>
  <c r="G8" i="5" s="1"/>
  <c r="E115" i="5"/>
  <c r="G115" i="5" s="1"/>
  <c r="E6" i="5"/>
  <c r="G6" i="5" s="1"/>
  <c r="E124" i="5"/>
  <c r="G124" i="5" s="1"/>
  <c r="E70" i="5"/>
  <c r="G70" i="5" s="1"/>
  <c r="E15" i="5"/>
  <c r="G15" i="5" s="1"/>
  <c r="E87" i="5"/>
  <c r="G87" i="5" s="1"/>
  <c r="E37" i="5"/>
  <c r="G37" i="5" s="1"/>
  <c r="E89" i="5"/>
  <c r="G89" i="5" s="1"/>
  <c r="E39" i="5"/>
  <c r="G39" i="5" s="1"/>
  <c r="E105" i="5"/>
  <c r="G105" i="5" s="1"/>
  <c r="E53" i="5"/>
  <c r="E21" i="5"/>
  <c r="E64" i="5"/>
  <c r="G64" i="5" s="1"/>
  <c r="E96" i="5"/>
  <c r="G96" i="5" s="1"/>
  <c r="E57" i="5"/>
  <c r="G57" i="5" s="1"/>
  <c r="E92" i="5"/>
  <c r="G92" i="5" s="1"/>
  <c r="E41" i="5"/>
  <c r="E101" i="5"/>
  <c r="G101" i="5" s="1"/>
  <c r="E69" i="5"/>
  <c r="E63" i="5"/>
  <c r="E95" i="5"/>
  <c r="E14" i="5"/>
  <c r="G14" i="5" s="1"/>
  <c r="E81" i="5"/>
  <c r="G81" i="5" s="1"/>
  <c r="E128" i="5"/>
  <c r="E9" i="5"/>
  <c r="G9" i="5" s="1"/>
  <c r="E132" i="5"/>
  <c r="E118" i="5"/>
  <c r="G118" i="5" s="1"/>
  <c r="E108" i="5"/>
  <c r="G108" i="5" s="1"/>
  <c r="E103" i="5"/>
  <c r="G103" i="5" s="1"/>
  <c r="E79" i="5"/>
  <c r="G79" i="5" s="1"/>
  <c r="E77" i="5"/>
  <c r="G77" i="5" s="1"/>
  <c r="E67" i="5"/>
  <c r="G67" i="5" s="1"/>
  <c r="E50" i="5"/>
  <c r="G50" i="5" s="1"/>
  <c r="E18" i="5"/>
  <c r="G18" i="5" s="1"/>
  <c r="E52" i="5"/>
  <c r="E47" i="5"/>
  <c r="G47" i="5" s="1"/>
  <c r="E29" i="5"/>
  <c r="E13" i="5"/>
  <c r="G13" i="5" s="1"/>
  <c r="E120" i="5"/>
  <c r="G120" i="5" s="1"/>
  <c r="E116" i="5"/>
  <c r="E112" i="5"/>
  <c r="G112" i="5" s="1"/>
  <c r="E106" i="5"/>
  <c r="G106" i="5" s="1"/>
  <c r="E102" i="5"/>
  <c r="G102" i="5" s="1"/>
  <c r="E76" i="5"/>
  <c r="G76" i="5" s="1"/>
  <c r="E73" i="5"/>
  <c r="E72" i="5"/>
  <c r="G72" i="5" s="1"/>
  <c r="E71" i="5"/>
  <c r="E61" i="5"/>
  <c r="E60" i="5"/>
  <c r="G60" i="5" s="1"/>
  <c r="E56" i="5"/>
  <c r="G56" i="5" s="1"/>
  <c r="E35" i="5"/>
  <c r="G35" i="5" s="1"/>
  <c r="E17" i="5"/>
  <c r="G17" i="5" s="1"/>
  <c r="E16" i="5"/>
  <c r="G16" i="5" s="1"/>
  <c r="E20" i="5"/>
  <c r="E91" i="5"/>
  <c r="E40" i="5"/>
  <c r="E46" i="5"/>
  <c r="E43" i="5"/>
  <c r="G43" i="5" s="1"/>
  <c r="E28" i="5"/>
  <c r="E24" i="5"/>
  <c r="E10" i="5"/>
  <c r="E5" i="5"/>
  <c r="G5" i="5" s="1"/>
  <c r="E2" i="5"/>
  <c r="G2" i="5" s="1"/>
  <c r="E137" i="5"/>
  <c r="G137" i="5" s="1"/>
  <c r="E136" i="5"/>
  <c r="G136" i="5" s="1"/>
  <c r="E130" i="5"/>
  <c r="G130" i="5" s="1"/>
  <c r="E97" i="5"/>
  <c r="E80" i="5"/>
  <c r="G80" i="5" s="1"/>
  <c r="E75" i="5"/>
  <c r="G75" i="5" s="1"/>
  <c r="E68" i="5"/>
  <c r="G68" i="5" s="1"/>
  <c r="E65" i="5"/>
  <c r="E51" i="5"/>
  <c r="E12" i="5"/>
  <c r="E127" i="5"/>
  <c r="E126" i="5"/>
  <c r="G126" i="5" s="1"/>
  <c r="E82" i="5"/>
  <c r="G82" i="5" s="1"/>
  <c r="E48" i="5"/>
  <c r="G48" i="5" s="1"/>
  <c r="E45" i="5"/>
  <c r="E7" i="5"/>
  <c r="E113" i="5"/>
  <c r="G113" i="5" s="1"/>
  <c r="E125" i="5"/>
  <c r="G125" i="5" s="1"/>
  <c r="E123" i="5"/>
  <c r="G123" i="5" s="1"/>
  <c r="E111" i="5"/>
  <c r="G111" i="5" s="1"/>
  <c r="E100" i="5"/>
  <c r="G100" i="5" s="1"/>
  <c r="E94" i="5"/>
  <c r="E131" i="5"/>
  <c r="H40" i="1"/>
  <c r="H90" i="1"/>
  <c r="H37" i="1"/>
  <c r="H88" i="1"/>
  <c r="H84" i="1"/>
  <c r="H29" i="1"/>
  <c r="H28" i="1"/>
  <c r="H31" i="1"/>
  <c r="H46" i="1"/>
  <c r="H30" i="1"/>
  <c r="H6" i="1"/>
  <c r="H18" i="1"/>
  <c r="H75" i="1"/>
  <c r="H3" i="1"/>
  <c r="H21" i="1"/>
  <c r="H19" i="1"/>
  <c r="H56" i="1"/>
  <c r="H71" i="1"/>
  <c r="H51" i="1"/>
  <c r="H69" i="1"/>
  <c r="H45" i="1"/>
  <c r="H49" i="1"/>
  <c r="H48" i="1"/>
  <c r="H73" i="1"/>
  <c r="H20" i="1"/>
  <c r="H54" i="1"/>
  <c r="H7" i="1"/>
  <c r="H8" i="1"/>
  <c r="H11" i="1"/>
  <c r="H93" i="1"/>
  <c r="H5" i="1"/>
  <c r="H91" i="1"/>
  <c r="H72" i="1"/>
  <c r="H53" i="1"/>
  <c r="H38" i="1"/>
  <c r="H14" i="1"/>
  <c r="H81" i="1"/>
  <c r="H63" i="1"/>
  <c r="H78" i="1"/>
  <c r="H79" i="1"/>
  <c r="H61" i="1"/>
  <c r="H24" i="1"/>
  <c r="H59" i="1"/>
  <c r="H60" i="1"/>
  <c r="H66" i="1"/>
  <c r="H22" i="1"/>
  <c r="H12" i="1"/>
  <c r="H17" i="1"/>
  <c r="H58" i="1"/>
  <c r="H82" i="1"/>
  <c r="H25" i="1"/>
  <c r="H55" i="1"/>
  <c r="H27" i="1"/>
  <c r="H16" i="1"/>
  <c r="H74" i="1"/>
  <c r="H80" i="1"/>
  <c r="H13" i="1"/>
  <c r="H2" i="1"/>
  <c r="H50" i="1"/>
  <c r="H10" i="1"/>
  <c r="H92" i="1"/>
  <c r="H89" i="1"/>
  <c r="H44" i="1"/>
  <c r="H41" i="1"/>
  <c r="H47" i="1"/>
  <c r="H36" i="1"/>
  <c r="H67" i="1"/>
  <c r="H26" i="1"/>
  <c r="H70" i="1"/>
  <c r="H65" i="1"/>
  <c r="H57" i="1"/>
  <c r="H52" i="1"/>
  <c r="H43" i="1"/>
  <c r="H86" i="1"/>
  <c r="H85" i="1"/>
  <c r="H77" i="1"/>
  <c r="H68" i="1"/>
  <c r="H64" i="1"/>
  <c r="H33" i="1"/>
  <c r="G61" i="5" l="1"/>
  <c r="G109" i="5"/>
  <c r="G132" i="5"/>
  <c r="G131" i="5" s="1"/>
  <c r="D95" i="6" s="1"/>
  <c r="G71" i="5"/>
  <c r="G121" i="5"/>
  <c r="G24" i="5"/>
  <c r="D18" i="6" s="1"/>
  <c r="G73" i="5"/>
  <c r="G95" i="5"/>
  <c r="G94" i="5" s="1"/>
  <c r="G41" i="5"/>
  <c r="G40" i="5" s="1"/>
  <c r="G22" i="5"/>
  <c r="G21" i="5" s="1"/>
  <c r="G20" i="5" s="1"/>
  <c r="G116" i="5"/>
  <c r="G63" i="5"/>
  <c r="G7" i="5"/>
  <c r="D7" i="6" s="1"/>
  <c r="G65" i="5"/>
  <c r="G69" i="5"/>
  <c r="G53" i="5"/>
  <c r="G52" i="5" s="1"/>
  <c r="G51" i="5" s="1"/>
  <c r="G128" i="5"/>
  <c r="G127" i="5" s="1"/>
  <c r="G10" i="5"/>
  <c r="G46" i="5"/>
  <c r="G45" i="5" s="1"/>
  <c r="G12" i="5"/>
  <c r="G31" i="5"/>
  <c r="G30" i="5" s="1"/>
  <c r="G29" i="5" s="1"/>
  <c r="G28" i="5" s="1"/>
  <c r="G83" i="5"/>
  <c r="G98" i="5"/>
  <c r="G97" i="5" s="1"/>
  <c r="G134" i="5"/>
  <c r="D94" i="6"/>
  <c r="D98" i="6"/>
  <c r="D97" i="6"/>
  <c r="D96" i="6"/>
  <c r="D79" i="6"/>
  <c r="D81" i="6"/>
  <c r="D33" i="6"/>
  <c r="D14" i="6"/>
  <c r="D80" i="6"/>
  <c r="D9" i="6"/>
  <c r="D74" i="6"/>
  <c r="D83" i="6"/>
  <c r="D76" i="6"/>
  <c r="D67" i="6"/>
  <c r="D4" i="6"/>
  <c r="D23" i="6"/>
  <c r="D82" i="6"/>
  <c r="D46" i="6"/>
  <c r="D45" i="6"/>
  <c r="D28" i="6"/>
  <c r="D8" i="6"/>
  <c r="D54" i="6"/>
  <c r="D27" i="6"/>
  <c r="D86" i="6"/>
  <c r="D51" i="6"/>
  <c r="D49" i="6"/>
  <c r="D15" i="6"/>
  <c r="D53" i="6"/>
  <c r="D57" i="6"/>
  <c r="D66" i="6"/>
  <c r="D63" i="6"/>
  <c r="D12" i="6"/>
  <c r="D16" i="6"/>
  <c r="D20" i="6"/>
  <c r="D31" i="6"/>
  <c r="D73" i="6"/>
  <c r="D37" i="6"/>
  <c r="D5" i="6"/>
  <c r="D41" i="6"/>
  <c r="D72" i="6"/>
  <c r="D58" i="6"/>
  <c r="D52" i="6"/>
  <c r="D77" i="6"/>
  <c r="D61" i="6"/>
  <c r="D19" i="6"/>
  <c r="D40" i="6"/>
  <c r="D64" i="6"/>
  <c r="D92" i="6"/>
  <c r="D85" i="6"/>
  <c r="D91" i="6"/>
  <c r="D56" i="6"/>
  <c r="D2" i="6"/>
  <c r="D30" i="6"/>
  <c r="D13" i="6"/>
  <c r="D38" i="6"/>
  <c r="D75" i="6"/>
  <c r="D55" i="6"/>
  <c r="D26" i="6"/>
  <c r="D6" i="6"/>
  <c r="D3" i="6"/>
  <c r="D34" i="6"/>
  <c r="C98" i="6"/>
  <c r="E97" i="1" s="1"/>
  <c r="C84" i="6"/>
  <c r="E84" i="1" s="1"/>
  <c r="C65" i="6"/>
  <c r="E65" i="1" s="1"/>
  <c r="C48" i="6"/>
  <c r="E48" i="1" s="1"/>
  <c r="C22" i="6"/>
  <c r="E22" i="1" s="1"/>
  <c r="C10" i="6"/>
  <c r="E10" i="1" s="1"/>
  <c r="C94" i="6"/>
  <c r="E93" i="1" s="1"/>
  <c r="C87" i="6"/>
  <c r="E36" i="1" s="1"/>
  <c r="C60" i="6"/>
  <c r="E60" i="1" s="1"/>
  <c r="C47" i="6"/>
  <c r="E47" i="1" s="1"/>
  <c r="C44" i="6"/>
  <c r="E44" i="1" s="1"/>
  <c r="C25" i="6"/>
  <c r="E25" i="1" s="1"/>
  <c r="C97" i="6"/>
  <c r="E96" i="1" s="1"/>
  <c r="C71" i="6"/>
  <c r="E71" i="1" s="1"/>
  <c r="C59" i="6"/>
  <c r="E59" i="1" s="1"/>
  <c r="C43" i="6"/>
  <c r="E43" i="1" s="1"/>
  <c r="C35" i="6"/>
  <c r="E35" i="1" s="1"/>
  <c r="C24" i="6"/>
  <c r="E24" i="1" s="1"/>
  <c r="C96" i="6"/>
  <c r="E95" i="1" s="1"/>
  <c r="C89" i="6"/>
  <c r="E89" i="1" s="1"/>
  <c r="C70" i="6"/>
  <c r="E70" i="1" s="1"/>
  <c r="C62" i="6"/>
  <c r="E62" i="1" s="1"/>
  <c r="C50" i="6"/>
  <c r="E50" i="1" s="1"/>
  <c r="C42" i="6"/>
  <c r="E42" i="1" s="1"/>
  <c r="C7" i="6"/>
  <c r="E7" i="1" s="1"/>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D21" i="6" l="1"/>
  <c r="D93" i="6"/>
  <c r="D68" i="6"/>
  <c r="D39" i="6"/>
  <c r="D48" i="6"/>
  <c r="D11" i="6"/>
  <c r="D71" i="6"/>
  <c r="D17" i="6"/>
  <c r="D25" i="6"/>
  <c r="D59" i="6"/>
  <c r="D47" i="6"/>
  <c r="D87" i="6"/>
  <c r="D24" i="6"/>
  <c r="D88" i="6"/>
  <c r="D36" i="6"/>
  <c r="D35" i="6"/>
  <c r="D44" i="6"/>
  <c r="D29" i="6"/>
  <c r="D89" i="6"/>
  <c r="D65" i="6"/>
  <c r="D50" i="6"/>
  <c r="D84" i="6"/>
  <c r="D90" i="6"/>
  <c r="D32" i="6"/>
  <c r="D70" i="6"/>
  <c r="D42" i="6"/>
  <c r="D69" i="6"/>
  <c r="D22" i="6"/>
  <c r="D62" i="6"/>
  <c r="D43" i="6"/>
  <c r="D60" i="6"/>
  <c r="D10" i="6"/>
  <c r="D78" i="6"/>
  <c r="C93" i="6"/>
  <c r="E92" i="1" s="1"/>
  <c r="C39" i="6"/>
  <c r="E39" i="1" s="1"/>
  <c r="C90" i="6"/>
  <c r="E88" i="1" s="1"/>
  <c r="C29" i="6"/>
  <c r="E29" i="1" s="1"/>
  <c r="C95" i="6"/>
  <c r="E94" i="1" s="1"/>
  <c r="C11" i="6"/>
  <c r="E11" i="1" s="1"/>
  <c r="C78" i="6"/>
  <c r="E78" i="1" s="1"/>
  <c r="C69" i="6"/>
  <c r="E69" i="1" s="1"/>
  <c r="C88" i="6"/>
  <c r="E87" i="1" s="1"/>
  <c r="C36" i="6" l="1"/>
  <c r="E37" i="1" s="1"/>
  <c r="C32" i="6"/>
  <c r="E32" i="1" s="1"/>
  <c r="C17" i="6" l="1"/>
  <c r="E17" i="1" s="1"/>
  <c r="C18" i="6" l="1"/>
  <c r="E18" i="1" s="1"/>
  <c r="C68" i="6" l="1"/>
  <c r="E68" i="1" s="1"/>
  <c r="C21" i="6"/>
</calcChain>
</file>

<file path=xl/comments1.xml><?xml version="1.0" encoding="utf-8"?>
<comments xmlns="http://schemas.openxmlformats.org/spreadsheetml/2006/main">
  <authors>
    <author>Chris Hays</author>
  </authors>
  <commentList>
    <comment ref="E9" authorId="0" shapeId="0">
      <text>
        <r>
          <rPr>
            <b/>
            <sz val="9"/>
            <color indexed="81"/>
            <rFont val="Tahoma"/>
            <family val="2"/>
          </rPr>
          <t>Chris Hays:</t>
        </r>
        <r>
          <rPr>
            <sz val="9"/>
            <color indexed="81"/>
            <rFont val="Tahoma"/>
            <family val="2"/>
          </rPr>
          <t xml:space="preserve">
Doesn't seem like they have a permanent address. Their performances take place at theaters all over the place</t>
        </r>
      </text>
    </comment>
    <comment ref="E34" authorId="0" shapeId="0">
      <text>
        <r>
          <rPr>
            <b/>
            <sz val="9"/>
            <color indexed="81"/>
            <rFont val="Tahoma"/>
            <family val="2"/>
          </rPr>
          <t>Chris Hays:</t>
        </r>
        <r>
          <rPr>
            <sz val="9"/>
            <color indexed="81"/>
            <rFont val="Tahoma"/>
            <family val="2"/>
          </rPr>
          <t xml:space="preserve">
from their fb
</t>
        </r>
      </text>
    </comment>
    <comment ref="E56" authorId="0" shapeId="0">
      <text>
        <r>
          <rPr>
            <b/>
            <sz val="9"/>
            <color indexed="81"/>
            <rFont val="Tahoma"/>
            <family val="2"/>
          </rPr>
          <t>Chris Hays:</t>
        </r>
        <r>
          <rPr>
            <sz val="9"/>
            <color indexed="81"/>
            <rFont val="Tahoma"/>
            <family val="2"/>
          </rPr>
          <t xml:space="preserve">
what to do about addresses that are PO boxes and no other address?</t>
        </r>
      </text>
    </comment>
    <comment ref="E83" authorId="0" shapeId="0">
      <text>
        <r>
          <rPr>
            <b/>
            <sz val="9"/>
            <color indexed="81"/>
            <rFont val="Tahoma"/>
            <family val="2"/>
          </rPr>
          <t>Chris Hays:</t>
        </r>
        <r>
          <rPr>
            <sz val="9"/>
            <color indexed="81"/>
            <rFont val="Tahoma"/>
            <family val="2"/>
          </rPr>
          <t xml:space="preserve">
For some reason, this wasn't working, so I just copied and pasted
</t>
        </r>
      </text>
    </comment>
  </commentList>
</comments>
</file>

<file path=xl/connections.xml><?xml version="1.0" encoding="utf-8"?>
<connections xmlns="http://schemas.openxmlformats.org/spreadsheetml/2006/main">
  <connection id="1" keepAlive="1" name="Query - MAPPING_" description="Connection to the 'MAPPING_' query in the workbook." type="5" refreshedVersion="6" background="1" saveData="1">
    <dbPr connection="Provider=Microsoft.Mashup.OleDb.1;Data Source=$Workbook$;Location=MAPPING_" command="SELECT * FROM [MAPPING_]"/>
  </connection>
  <connection id="2" keepAlive="1" name="Query - MAPPING_ (2)" description="Connection to the 'MAPPING_ (2)' query in the workbook." type="5" refreshedVersion="6" background="1" saveData="1">
    <dbPr connection="Provider=Microsoft.Mashup.OleDb.1;Data Source=$Workbook$;Location=MAPPING_ (2);Extended Properties=&quot;&quot;" command="SELECT * FROM [MAPPING_ (2)]"/>
  </connection>
</connections>
</file>

<file path=xl/sharedStrings.xml><?xml version="1.0" encoding="utf-8"?>
<sst xmlns="http://schemas.openxmlformats.org/spreadsheetml/2006/main" count="5594" uniqueCount="2348">
  <si>
    <t>Year Grant Received</t>
  </si>
  <si>
    <t>Type of Grant Received</t>
  </si>
  <si>
    <t>Grantee Name</t>
  </si>
  <si>
    <t>American Indian Family Center</t>
  </si>
  <si>
    <t>CIG</t>
  </si>
  <si>
    <t>East Side Neighborhood Development Company</t>
  </si>
  <si>
    <t>Neighborhoods Organizing for Change</t>
  </si>
  <si>
    <t>Pan Asian Arts Alliance c/o Asian Media Access</t>
  </si>
  <si>
    <t>Somali American Community</t>
  </si>
  <si>
    <t>Twin Cities Agricultural Land Trust</t>
  </si>
  <si>
    <t>Upstream Arts, Inc.</t>
  </si>
  <si>
    <t>Voices for Racial Justice</t>
  </si>
  <si>
    <t>WaterLegacy</t>
  </si>
  <si>
    <t>POC led?</t>
  </si>
  <si>
    <t>$ amt for grant</t>
  </si>
  <si>
    <t>GrantType</t>
  </si>
  <si>
    <t>RecipientName</t>
  </si>
  <si>
    <t>Amount</t>
  </si>
  <si>
    <t>PayDate</t>
  </si>
  <si>
    <t>Year</t>
  </si>
  <si>
    <t>Somali Community Barwaaqo Organization</t>
  </si>
  <si>
    <t>Dream of Wild Health</t>
  </si>
  <si>
    <t>Midwest Mixed Conference</t>
  </si>
  <si>
    <t>Victoria Theater Arts Initiative</t>
  </si>
  <si>
    <t>GP</t>
  </si>
  <si>
    <t>Asian American Organizing Project</t>
  </si>
  <si>
    <t>Greater Minnesota Worker Center</t>
  </si>
  <si>
    <t>Immigrant Development Center</t>
  </si>
  <si>
    <t>Indigenous Roots</t>
  </si>
  <si>
    <t>Jordan Area Community Council</t>
  </si>
  <si>
    <t>ManForward</t>
  </si>
  <si>
    <t>OutFront MN Community Services</t>
  </si>
  <si>
    <t>Watercourse Counseling Center</t>
  </si>
  <si>
    <t>West Side Community Organization</t>
  </si>
  <si>
    <t>White Earth Land Recovery Project</t>
  </si>
  <si>
    <t>ACER, Inc (African Career and Education Resource, Inc)</t>
  </si>
  <si>
    <t>All Parks Alliance for Change</t>
  </si>
  <si>
    <t>Appetite for Change</t>
  </si>
  <si>
    <t>CAIR-Minnesota, Inc. (Council on American Islamic Relations)</t>
  </si>
  <si>
    <t>Centro de Trabajadores Unidos en la Lucha</t>
  </si>
  <si>
    <t>Defend Glendale Campaign</t>
  </si>
  <si>
    <t>FSC</t>
  </si>
  <si>
    <t>Dakota Wicohan</t>
  </si>
  <si>
    <t>Native American Community Development Institute</t>
  </si>
  <si>
    <t>Waadookodaading Ojibwe Language Immersion School</t>
  </si>
  <si>
    <t>G</t>
  </si>
  <si>
    <t>Black Lives Matter Minneapolis</t>
  </si>
  <si>
    <t>Autism Society of Minnesota</t>
  </si>
  <si>
    <t>Bdote Learning Center</t>
  </si>
  <si>
    <t>Community Stabilization Project</t>
  </si>
  <si>
    <t>Hallie Q. Brown Community Center, Inc</t>
  </si>
  <si>
    <t>Hispanic Outreach Program of Goodhue</t>
  </si>
  <si>
    <t>Hmong American Farmers Association</t>
  </si>
  <si>
    <t>Iraqi and American Reconciliation Project</t>
  </si>
  <si>
    <t>Jewish Community Action</t>
  </si>
  <si>
    <t>Kaleo Center for Faith, Justice &amp; Social Transformation</t>
  </si>
  <si>
    <t>Prevention Health Care Agency d/b/a Isuroon</t>
  </si>
  <si>
    <t>Reviving the Islamic Sisterhood for Empowerment</t>
  </si>
  <si>
    <t>Somali Artifact and Cultural Museum</t>
  </si>
  <si>
    <t>The People's Press Project (PPP)</t>
  </si>
  <si>
    <t>Thomas-Dale District 7 Planning Council d/b/a Frogtown Neigh</t>
  </si>
  <si>
    <t>InquilinXs UnidXs Por Justicia (United Renters For Justice)</t>
  </si>
  <si>
    <t>Bemidji Area Indian Center</t>
  </si>
  <si>
    <t>Family Tree, Inc</t>
  </si>
  <si>
    <t>IN Equality</t>
  </si>
  <si>
    <t>Karen Organization of Minnesota</t>
  </si>
  <si>
    <t>Lao Assistance Center of Minnesota</t>
  </si>
  <si>
    <t>Project Fine</t>
  </si>
  <si>
    <t>Rural Renewable Energy Alliance</t>
  </si>
  <si>
    <t>The Power of People Leadership Institute</t>
  </si>
  <si>
    <t>Ananya Dance Theatre</t>
  </si>
  <si>
    <t>Men As Peacemakers</t>
  </si>
  <si>
    <t>Hnub Tshiab: Hmong Women Achieving Together</t>
  </si>
  <si>
    <t>InquilinXs UnidXs Por Justica (United Renters For Justice)</t>
  </si>
  <si>
    <t>Harrison Neighborhood Association</t>
  </si>
  <si>
    <t>Phillips Indian Educators (PIE)</t>
  </si>
  <si>
    <t>Native Youth Alliance of Minnesota</t>
  </si>
  <si>
    <t>Redeemer Center for Life</t>
  </si>
  <si>
    <t>Cycles for Change</t>
  </si>
  <si>
    <t>MN Host Home Network</t>
  </si>
  <si>
    <t>Cooperative Developemnt Funds of CDS</t>
  </si>
  <si>
    <t>Shades of Yellow</t>
  </si>
  <si>
    <t>Minnesota Transgender Health Coalition</t>
  </si>
  <si>
    <t>Asian Economic Development Association</t>
  </si>
  <si>
    <t>University of Minnesota Foundation</t>
  </si>
  <si>
    <t>Alliance for Sustainability</t>
  </si>
  <si>
    <t>The Food Goup</t>
  </si>
  <si>
    <t>American Indian Movement Interpretive Center</t>
  </si>
  <si>
    <t>Bii Gii Wiin CDLF</t>
  </si>
  <si>
    <t>Afro American Development Association</t>
  </si>
  <si>
    <t>Toxic Taters Coaltion</t>
  </si>
  <si>
    <t>Rural and American Indigenous Leadership</t>
  </si>
  <si>
    <t>Center for Earth Energy and Democracy</t>
  </si>
  <si>
    <t>Centro Campesino</t>
  </si>
  <si>
    <t>Conflict Resolution Center</t>
  </si>
  <si>
    <t>Council on American Islamic Relations -CAIR-Minnesota, Inc.</t>
  </si>
  <si>
    <t>District Councils Collaborative of St. Paul and Minneapolis</t>
  </si>
  <si>
    <t>Eradicating Achievement Gap &amp; Learning Empowerment, Inc.</t>
  </si>
  <si>
    <t>Heritage Park Neighborhood Association</t>
  </si>
  <si>
    <t>Minnesota Urban Debate League</t>
  </si>
  <si>
    <t>NARAL Pro-Choice MN</t>
  </si>
  <si>
    <t>RECLAIM</t>
  </si>
  <si>
    <t>SCF</t>
  </si>
  <si>
    <t>La Asamblea de Derechos Civiles</t>
  </si>
  <si>
    <t>Minnesota Coalition for the Homeless</t>
  </si>
  <si>
    <t>NAVIGATE MN</t>
  </si>
  <si>
    <t>Welfare Rights Committee</t>
  </si>
  <si>
    <t>AfroEco</t>
  </si>
  <si>
    <t>CHUM</t>
  </si>
  <si>
    <t>Community Artist Leadership Initiative</t>
  </si>
  <si>
    <t>Cross Cultural Alliance of Duluth</t>
  </si>
  <si>
    <t>Minnesota Interfaith Power and Light</t>
  </si>
  <si>
    <t>The Bridge for Youth</t>
  </si>
  <si>
    <t>The unPrison Project</t>
  </si>
  <si>
    <t>Haas Institute for Fair and Inclusive Society</t>
  </si>
  <si>
    <t>Name</t>
  </si>
  <si>
    <t>Preferred Address Lines</t>
  </si>
  <si>
    <t>Constituent Date Added</t>
  </si>
  <si>
    <t>15 Now Minnesota</t>
  </si>
  <si>
    <t>3029 Chicago Ave.</t>
  </si>
  <si>
    <t>1Love Midwest</t>
  </si>
  <si>
    <t>601 Bayview</t>
  </si>
  <si>
    <t>Access Philanthropy Charities</t>
  </si>
  <si>
    <t>2100 Stevens Avenue</t>
  </si>
  <si>
    <t>5701 Shingle Creek Parkway, Ste 630</t>
  </si>
  <si>
    <t>Fowzia Adde</t>
  </si>
  <si>
    <t>810 4th Ave. S. #100</t>
  </si>
  <si>
    <t>African American Community of Practice</t>
  </si>
  <si>
    <t>600 East Minnehaha Parkway</t>
  </si>
  <si>
    <t>African Economic Developement Solutions</t>
  </si>
  <si>
    <t>1821 University Avenue West Suite S-227</t>
  </si>
  <si>
    <t>African Workforce &amp; Entrepreneurial Development</t>
  </si>
  <si>
    <t>140 West 98th St, Suite 205</t>
  </si>
  <si>
    <t>1132 28th Ave S Suite 104</t>
  </si>
  <si>
    <t>2104 Stevens Ave S, Ste 215</t>
  </si>
  <si>
    <t>Aitkin Community Education</t>
  </si>
  <si>
    <t>225 2nd Ave SW</t>
  </si>
  <si>
    <t>Alliance for Global Justice</t>
  </si>
  <si>
    <t>225 E. 26th Street, Suite 1</t>
  </si>
  <si>
    <t>1113 East Franklin Avenue, Suite 103</t>
  </si>
  <si>
    <t>Brooke Ammann</t>
  </si>
  <si>
    <t>8575N Trepania Road</t>
  </si>
  <si>
    <t>Dave Anderson</t>
  </si>
  <si>
    <t>2380 Wycliff Street, Suite 200</t>
  </si>
  <si>
    <t>Roxanne Anderson</t>
  </si>
  <si>
    <t>3405 Chicago Ave S</t>
  </si>
  <si>
    <t>Apache Stronghold</t>
  </si>
  <si>
    <t>PO Box 766</t>
  </si>
  <si>
    <t>APAHC, CHI/RRFC</t>
  </si>
  <si>
    <t/>
  </si>
  <si>
    <t>Asian Media Access</t>
  </si>
  <si>
    <t>2418 Plymouth Avenue North</t>
  </si>
  <si>
    <t>Association of Nigerian Nurses in Nurse America</t>
  </si>
  <si>
    <t>C/O 6500 BROOKLYN BLVD, STE 200</t>
  </si>
  <si>
    <t>Astraea Lesbian Foundation for Justice</t>
  </si>
  <si>
    <t>116 East 16th Street, 7th Floor</t>
  </si>
  <si>
    <t>Athlete Ally</t>
  </si>
  <si>
    <t>601 West 26th Street Suite 325-43</t>
  </si>
  <si>
    <t>Audubon Center of the North Woods</t>
  </si>
  <si>
    <t>54165 Audubon Drive</t>
  </si>
  <si>
    <t>2380 Wycliff Street, #102</t>
  </si>
  <si>
    <t>3216 East 29th Street</t>
  </si>
  <si>
    <t>Bedlam Theatre</t>
  </si>
  <si>
    <t>2637 27th Ave S</t>
  </si>
  <si>
    <t>Jessica Belt Saem ElDahr</t>
  </si>
  <si>
    <t>416 E Hennepin Ave Suite 116</t>
  </si>
  <si>
    <t>P. O. Box 1123</t>
  </si>
  <si>
    <t>Big Brothers Big Sisters of the Greater Twin Cities</t>
  </si>
  <si>
    <t>2550 University Ave W Ste 410 N</t>
  </si>
  <si>
    <t>1113 East Franklin Avenue</t>
  </si>
  <si>
    <t>Birdbear Sisters</t>
  </si>
  <si>
    <t>Erica Bjelland</t>
  </si>
  <si>
    <t>2377 Dancing Wind Rd SW</t>
  </si>
  <si>
    <t>Black Community Change Association</t>
  </si>
  <si>
    <t>1017 L Street Suite 711</t>
  </si>
  <si>
    <t>3032 10th Ave. South</t>
  </si>
  <si>
    <t>Black Mesa Indigenous Support</t>
  </si>
  <si>
    <t>1018 S 7th Ave</t>
  </si>
  <si>
    <t>Black Women's Wealth Alliance</t>
  </si>
  <si>
    <t>P.O. Box 11622</t>
  </si>
  <si>
    <t>Brave Heart Society</t>
  </si>
  <si>
    <t>445 Union Str.</t>
  </si>
  <si>
    <t>Monica Bravo</t>
  </si>
  <si>
    <t>209 Page Street</t>
  </si>
  <si>
    <t>Break the Silence - Rape Survivors Memorial</t>
  </si>
  <si>
    <t>2314 University Avenue</t>
  </si>
  <si>
    <t>Building Our Future</t>
  </si>
  <si>
    <t>601 Bay VW</t>
  </si>
  <si>
    <t>C4: Concerned Citizens for a Creative Community</t>
  </si>
  <si>
    <t>324 1st Ave, SW</t>
  </si>
  <si>
    <t>Luis Caguana</t>
  </si>
  <si>
    <t>3715 Chicago Avenue South</t>
  </si>
  <si>
    <t>Can Do Canines</t>
  </si>
  <si>
    <t>9440 Science Center Drive</t>
  </si>
  <si>
    <t>Center for Inclusive Child Care</t>
  </si>
  <si>
    <t>1282 Concordia Avenue</t>
  </si>
  <si>
    <t>Center for Sustainable Rural Communities</t>
  </si>
  <si>
    <t>184 Bush Road</t>
  </si>
  <si>
    <t>Central Area Neighborhood Developement Organization</t>
  </si>
  <si>
    <t>P. O. Box 80642</t>
  </si>
  <si>
    <t>Kelly Chatman</t>
  </si>
  <si>
    <t>1800 Glenwood Avenue</t>
  </si>
  <si>
    <t>Children's Dental Services</t>
  </si>
  <si>
    <t>636 Broadway St NE</t>
  </si>
  <si>
    <t>102 West 2nd Street</t>
  </si>
  <si>
    <t>Circle of Discipline, Inc.</t>
  </si>
  <si>
    <t>1201 E. Lake Street P. O. Box 7313</t>
  </si>
  <si>
    <t>Jilian Clearman</t>
  </si>
  <si>
    <t>3715 Chicago Ave</t>
  </si>
  <si>
    <t>College Prep Academy</t>
  </si>
  <si>
    <t>1515 Brewster St</t>
  </si>
  <si>
    <t>Community Access for New Immigrants &amp; African Refugees</t>
  </si>
  <si>
    <t>3300 County Road 10 Ste 518D</t>
  </si>
  <si>
    <t>275 4th Street E, Ste 482</t>
  </si>
  <si>
    <t>Community First Minnesota</t>
  </si>
  <si>
    <t>1530 Russell Ave N</t>
  </si>
  <si>
    <t>Community Health and Education Assistance Program</t>
  </si>
  <si>
    <t>7420 Unity Avenue North Suite 310-C</t>
  </si>
  <si>
    <t>Cooperative Development Funds of CDS</t>
  </si>
  <si>
    <t>145 University Avenue West, Suite 145</t>
  </si>
  <si>
    <t>Covenant Pathways</t>
  </si>
  <si>
    <t>310 Bortot Dr #22</t>
  </si>
  <si>
    <t>24 N. 21st Ave W</t>
  </si>
  <si>
    <t>Crossroads Panorama</t>
  </si>
  <si>
    <t>310 E 38th Street 3rd Floor CRC</t>
  </si>
  <si>
    <t>Crow Canyon Archaeological Center</t>
  </si>
  <si>
    <t>23390 Road K</t>
  </si>
  <si>
    <t>CultureBrokers Foundation, Inc.</t>
  </si>
  <si>
    <t>1610 5th St NE</t>
  </si>
  <si>
    <t>Dakhota Iapi Okhodakichiye</t>
  </si>
  <si>
    <t>2528 Pillsbury Ave S</t>
  </si>
  <si>
    <t>Cara Deanes</t>
  </si>
  <si>
    <t>600 18th Ave N</t>
  </si>
  <si>
    <t>PO Box 14616</t>
  </si>
  <si>
    <t>Democracy Initiative Education Fund</t>
  </si>
  <si>
    <t>50 F Street, NW 8th Floor</t>
  </si>
  <si>
    <t>Demos</t>
  </si>
  <si>
    <t xml:space="preserve">220 Fifth Avenue, 2nd Flr. </t>
  </si>
  <si>
    <t>Caroline Devany</t>
  </si>
  <si>
    <t>3600 17th Ave #102</t>
  </si>
  <si>
    <t>Don't Buy Miss Saigon Coalition</t>
  </si>
  <si>
    <t>711 W Lake St, Ste 101</t>
  </si>
  <si>
    <t>Earth Guardians</t>
  </si>
  <si>
    <t>3980 Broadway Street</t>
  </si>
  <si>
    <t>East Phllips Improvement Coalition</t>
  </si>
  <si>
    <t>2536 18th Ave S</t>
  </si>
  <si>
    <t>965 Payne</t>
  </si>
  <si>
    <t>Kevin Edberg</t>
  </si>
  <si>
    <t>145 University Avenue W Suite 450</t>
  </si>
  <si>
    <t>Emily Eddy White</t>
  </si>
  <si>
    <t>8501 54th Avenue North</t>
  </si>
  <si>
    <t>EDIT</t>
  </si>
  <si>
    <t>2608 Blaisdell Ave S</t>
  </si>
  <si>
    <t>Emergency Fund for Black Lives</t>
  </si>
  <si>
    <t>2801 21st Avenue Sout, Suite 132 B</t>
  </si>
  <si>
    <t>Endazhi Anji Anishinaabewiiyaang</t>
  </si>
  <si>
    <t>2841 Snider Lake Road</t>
  </si>
  <si>
    <t>P.O. Box 981</t>
  </si>
  <si>
    <t>FairVote</t>
  </si>
  <si>
    <t>6930 Carroll Avenue, Suite 240</t>
  </si>
  <si>
    <t>1619 Dayton Avenue, Suite 205</t>
  </si>
  <si>
    <t>Florida Instittute for Community Studies (FICS)</t>
  </si>
  <si>
    <t>PO Box 16745</t>
  </si>
  <si>
    <t>Fractivist.org</t>
  </si>
  <si>
    <t>6521 St. Vrain Road</t>
  </si>
  <si>
    <t>Freedom Inc.</t>
  </si>
  <si>
    <t>1810 S. Park St., Ste 1</t>
  </si>
  <si>
    <t>Fresh Corner Grower's Cooperative</t>
  </si>
  <si>
    <t>1515 Fremont Ave. N.</t>
  </si>
  <si>
    <t>Fusion Labs</t>
  </si>
  <si>
    <t>5429 LBJ Freeway Suite 1000</t>
  </si>
  <si>
    <t>Global Impact</t>
  </si>
  <si>
    <t>1199 North Fairfax Street Suite 300</t>
  </si>
  <si>
    <t>Brett Grant</t>
  </si>
  <si>
    <t>2422 Clinton Avenue South Apt. E14</t>
  </si>
  <si>
    <t>Great Old Broads for Wilderness</t>
  </si>
  <si>
    <t>Box 2924</t>
  </si>
  <si>
    <t>Gladys Gutierrez</t>
  </si>
  <si>
    <t>2719 W Division St Ste 122</t>
  </si>
  <si>
    <t>University of California, Berkeley 460 Stephens Hall</t>
  </si>
  <si>
    <t>270 North Kent Street</t>
  </si>
  <si>
    <t>Havadon College</t>
  </si>
  <si>
    <t>3978 West Broadway</t>
  </si>
  <si>
    <t>Healing Brothers</t>
  </si>
  <si>
    <t>3442 25th Ave S.</t>
  </si>
  <si>
    <t>1000 Olson Memorial Highway</t>
  </si>
  <si>
    <t>High Five, Inc</t>
  </si>
  <si>
    <t>PO Box 863</t>
  </si>
  <si>
    <t>Hip-Hop, History and The Arts</t>
  </si>
  <si>
    <t>2200 Bryant Ave. S. Apt 104</t>
  </si>
  <si>
    <t>1407 West 4th St</t>
  </si>
  <si>
    <t>Andrea Huber</t>
  </si>
  <si>
    <t>2900 Fremont Avenue North, Suite 108</t>
  </si>
  <si>
    <t>Humanitarian Services for Children of Vietnam</t>
  </si>
  <si>
    <t>2965 Spring Lake Road SW</t>
  </si>
  <si>
    <t>Jaylani Hussein</t>
  </si>
  <si>
    <t>2511 East Frankline Ave, Suite 100</t>
  </si>
  <si>
    <t>444 Lexington Parkway South, Unit 1</t>
  </si>
  <si>
    <t>Indigenous Climate Action</t>
  </si>
  <si>
    <t xml:space="preserve">PO Box 366 </t>
  </si>
  <si>
    <t>24 Nelson Street</t>
  </si>
  <si>
    <t>4139 Garfield Avenue</t>
  </si>
  <si>
    <t>International Forum on Globalization</t>
  </si>
  <si>
    <t>1009 General Kennedy Ave #2</t>
  </si>
  <si>
    <t>Intertribal Council on Utility Policy</t>
  </si>
  <si>
    <t>PO Box 25</t>
  </si>
  <si>
    <t>Inver Hills Community College Foundation</t>
  </si>
  <si>
    <t>2500 E 80th St</t>
  </si>
  <si>
    <t>Irreducible Grace Foundation</t>
  </si>
  <si>
    <t>1637 Wilson Ave.</t>
  </si>
  <si>
    <t>Fardousa Jama</t>
  </si>
  <si>
    <t>227 East Main st</t>
  </si>
  <si>
    <t>Jewish Voice for Peace</t>
  </si>
  <si>
    <t>1611 Telegraph Avenue, Suite 1020</t>
  </si>
  <si>
    <t>2800 Fremont avenue North, suite 108</t>
  </si>
  <si>
    <t>3000 5th Street NW</t>
  </si>
  <si>
    <t>Keepers of the Athabascan Watershed Society</t>
  </si>
  <si>
    <t>Box 1707</t>
  </si>
  <si>
    <t>Julie Koch</t>
  </si>
  <si>
    <t>3548 Bryant Ave S</t>
  </si>
  <si>
    <t>Mat Krisetya</t>
  </si>
  <si>
    <t>941 Lafond Ave W Suite 100</t>
  </si>
  <si>
    <t>Laura LaBlanc</t>
  </si>
  <si>
    <t>444 Lexington Pkwy S Unit 1</t>
  </si>
  <si>
    <t>Land Stewardship Project</t>
  </si>
  <si>
    <t>180 E. Mian</t>
  </si>
  <si>
    <t>Language Central, Inc.</t>
  </si>
  <si>
    <t>1228 2nd St NE</t>
  </si>
  <si>
    <t>Jewelly Lee</t>
  </si>
  <si>
    <t>P.O. Box 14127</t>
  </si>
  <si>
    <t>LeniBug Foundation</t>
  </si>
  <si>
    <t>3070 Drexmore Drive</t>
  </si>
  <si>
    <t>Lowlander Center</t>
  </si>
  <si>
    <t>106 Sandalwood Drive</t>
  </si>
  <si>
    <t>Lubicon Solar Project</t>
  </si>
  <si>
    <t>PO Box 1351</t>
  </si>
  <si>
    <t>Paula Maccabee</t>
  </si>
  <si>
    <t>1961 Selby Avenue</t>
  </si>
  <si>
    <t>Makoce Ikikcupi</t>
  </si>
  <si>
    <t>165 Jordan Drive, Apt 19</t>
  </si>
  <si>
    <t>PO Box 6223</t>
  </si>
  <si>
    <t>Marilyn Martin</t>
  </si>
  <si>
    <t>1008 2nd St SE</t>
  </si>
  <si>
    <t>Mawinzo Asiginigazo</t>
  </si>
  <si>
    <t>14506 Augiaush Road</t>
  </si>
  <si>
    <t>Media Island International</t>
  </si>
  <si>
    <t>PO Box 7204</t>
  </si>
  <si>
    <t>Charlotte Mertz</t>
  </si>
  <si>
    <t>579 Wells Street</t>
  </si>
  <si>
    <t>Metro Quail Forever</t>
  </si>
  <si>
    <t>1783 Buerkle Circle</t>
  </si>
  <si>
    <t>Mexico - US Solidarity Network</t>
  </si>
  <si>
    <t>3460 West Lawrence Avenue</t>
  </si>
  <si>
    <t>2104 Stevens Ave. S.</t>
  </si>
  <si>
    <t>Minnesota Spokesman Recorder</t>
  </si>
  <si>
    <t>3744 4th Ave. South</t>
  </si>
  <si>
    <t>3405 Chicago Ave.</t>
  </si>
  <si>
    <t>2211 Riverside Ave CB 26</t>
  </si>
  <si>
    <t>2314 University Ave W, Suite 28</t>
  </si>
  <si>
    <t>Asma Mohammed</t>
  </si>
  <si>
    <t>7733 Lakeview Lane NE</t>
  </si>
  <si>
    <t>Carin Mrotz</t>
  </si>
  <si>
    <t>2375 University Ave West Suite 150</t>
  </si>
  <si>
    <t>NAACP Legal Defense and Education Fund, Inc.</t>
  </si>
  <si>
    <t>40 Rector Street, 5th Floor</t>
  </si>
  <si>
    <t>Native Harvest</t>
  </si>
  <si>
    <t>607 Main Avenue</t>
  </si>
  <si>
    <t>1113 E. Franklin Avenue, Suite 103</t>
  </si>
  <si>
    <t>Nibi Walks</t>
  </si>
  <si>
    <t>1335 E 23rd Street</t>
  </si>
  <si>
    <t>North Point Health and Wellness Inc.</t>
  </si>
  <si>
    <t>1313 Penn Avenue North</t>
  </si>
  <si>
    <t>Tie Oei</t>
  </si>
  <si>
    <t>2418 Plymouth Ave N</t>
  </si>
  <si>
    <t>Olahana</t>
  </si>
  <si>
    <t>PO Box 37</t>
  </si>
  <si>
    <t>One Family One Community</t>
  </si>
  <si>
    <t>3325 2nd Ave S</t>
  </si>
  <si>
    <t>Oyate Hotanin</t>
  </si>
  <si>
    <t>Page Education Foundation</t>
  </si>
  <si>
    <t>PO Box 581254</t>
  </si>
  <si>
    <t>Alissa Paris</t>
  </si>
  <si>
    <t>2910 15th ave s #2</t>
  </si>
  <si>
    <t>Past Athletes Concerned about Education</t>
  </si>
  <si>
    <t>411 East 38th Street Suite 107</t>
  </si>
  <si>
    <t>People's Action Institute</t>
  </si>
  <si>
    <t>810 N. Milwaukee</t>
  </si>
  <si>
    <t>People's Movement Center</t>
  </si>
  <si>
    <t>763 East 41st Street</t>
  </si>
  <si>
    <t>Joy Persall</t>
  </si>
  <si>
    <t>1308 Franklin Ave Suite 203</t>
  </si>
  <si>
    <t>Gary Peterson</t>
  </si>
  <si>
    <t>P. O. Box 2427</t>
  </si>
  <si>
    <t>Pheasants Forever</t>
  </si>
  <si>
    <t>Pillsbury United Communities</t>
  </si>
  <si>
    <t>2321 11th Avenue South</t>
  </si>
  <si>
    <t>Planned Parenthood Federation of America, Inc.</t>
  </si>
  <si>
    <t>434 West 33rd Street</t>
  </si>
  <si>
    <t>202 West 3rd Street</t>
  </si>
  <si>
    <t>Rebound, Inc.</t>
  </si>
  <si>
    <t>3415 Fremont Ave N</t>
  </si>
  <si>
    <t>ReconcilingWorks: Lutherans for Full Participation</t>
  </si>
  <si>
    <t>1669 Arcard St Ste 2</t>
  </si>
  <si>
    <t>Red-headed Woodpecker Recovery</t>
  </si>
  <si>
    <t>PO Box 3801</t>
  </si>
  <si>
    <t>4201 99th Avenue North</t>
  </si>
  <si>
    <t>Lucy Richardson</t>
  </si>
  <si>
    <t>Saint Paul Urban Tennis Program</t>
  </si>
  <si>
    <t>1188 Hubbard Avenue</t>
  </si>
  <si>
    <t>Sankofa Underground North (SUN) Academy</t>
  </si>
  <si>
    <t>1200 West Broadway Avenue, Suite 110</t>
  </si>
  <si>
    <t>Self International, Inc.</t>
  </si>
  <si>
    <t>4233 Chicago Avenuew South</t>
  </si>
  <si>
    <t>Sewa-Aifw</t>
  </si>
  <si>
    <t>5640 N Danube Road</t>
  </si>
  <si>
    <t>Seward Child Care Center</t>
  </si>
  <si>
    <t>2323  32nd Ave. S.</t>
  </si>
  <si>
    <t>Shiprock Chapter - Navajo Nation</t>
  </si>
  <si>
    <t>PO Box 3810</t>
  </si>
  <si>
    <t>Bree Sieplinga</t>
  </si>
  <si>
    <t>3501 Chicago Ave. S.</t>
  </si>
  <si>
    <t>Sing Our Rivers Red</t>
  </si>
  <si>
    <t>PO Box 226</t>
  </si>
  <si>
    <t>Nelima Sitati Munene</t>
  </si>
  <si>
    <t>5701 Shingle Creek Pkwy Suite 540</t>
  </si>
  <si>
    <t>Social Justice Fund Northwest</t>
  </si>
  <si>
    <t>1904 Third Ave Ste 806</t>
  </si>
  <si>
    <t>2323 Eleventh Avenue South, Suite 260</t>
  </si>
  <si>
    <t>1516 East Lake Street #11</t>
  </si>
  <si>
    <t>227 E Main St #200</t>
  </si>
  <si>
    <t>Something Cool, Inc.</t>
  </si>
  <si>
    <t>94 N. Maddy St  P.O. Box 99</t>
  </si>
  <si>
    <t>Sovereign Foods Inc.</t>
  </si>
  <si>
    <t>537 N 12th</t>
  </si>
  <si>
    <t>Sugarbush Learning and Action Camp</t>
  </si>
  <si>
    <t>957 Ozighaw Rd</t>
  </si>
  <si>
    <t>SURJ Action</t>
  </si>
  <si>
    <t>C/o Kristen Brock-Petroshius 3688 East 14th Street</t>
  </si>
  <si>
    <t>Danielle Swift</t>
  </si>
  <si>
    <t>Mark Tester</t>
  </si>
  <si>
    <t>Shinaah Thao</t>
  </si>
  <si>
    <t>1732 Rosewood Ave S</t>
  </si>
  <si>
    <t>The Bricker Lavik Community Law Firm</t>
  </si>
  <si>
    <t>875 Summit Ave</t>
  </si>
  <si>
    <t>1111 West 22nd Street</t>
  </si>
  <si>
    <t>The Center Pole</t>
  </si>
  <si>
    <t>PO Box 71</t>
  </si>
  <si>
    <t>The DIAL Group</t>
  </si>
  <si>
    <t>c/o Springboard for the Arts 308 Prince Street, #270</t>
  </si>
  <si>
    <t>The Food Group</t>
  </si>
  <si>
    <t>8501 54th Ave. N.</t>
  </si>
  <si>
    <t>The Movement for Black Lives</t>
  </si>
  <si>
    <t>Alliance for Global Justice 225 East 26th Street, Suite 1</t>
  </si>
  <si>
    <t>The Shalom Center</t>
  </si>
  <si>
    <t>6711 Lincoln Dr.</t>
  </si>
  <si>
    <t>8014 Olson Memorial Hwy #153</t>
  </si>
  <si>
    <t>Tibetan Political Prisoners Project</t>
  </si>
  <si>
    <t>c/o Humanitarian Services for Children of Vietnam 2965 Spring Lake Road SW</t>
  </si>
  <si>
    <t>P.O. Box 25</t>
  </si>
  <si>
    <t>Traditional Roots Healthcare</t>
  </si>
  <si>
    <t>165 North Dunlap Street</t>
  </si>
  <si>
    <t>Unite Cloud</t>
  </si>
  <si>
    <t>232 2nd Avenue North</t>
  </si>
  <si>
    <t>United We Dream Network</t>
  </si>
  <si>
    <t>1900 L St. NW Suite 900</t>
  </si>
  <si>
    <t>McNamara Alumni Center 200 Oak Street SE, Suite 500</t>
  </si>
  <si>
    <t>University of St. Thomas</t>
  </si>
  <si>
    <t>2115 Summit Avenue</t>
  </si>
  <si>
    <t>Urban 4-H (MN 4-H Foundation)</t>
  </si>
  <si>
    <t>1420 Eckles Avenue, 90 Coffey Hall</t>
  </si>
  <si>
    <t>Urban Roots</t>
  </si>
  <si>
    <t>463 Maria Avenue, Suite 207</t>
  </si>
  <si>
    <t>John Vaughn</t>
  </si>
  <si>
    <t>501 North Dale St</t>
  </si>
  <si>
    <t>Village of Wisdom</t>
  </si>
  <si>
    <t>6 Coriander Ct</t>
  </si>
  <si>
    <t>Voices of the Sacred</t>
  </si>
  <si>
    <t>420 N Pattee Street Apt 11</t>
  </si>
  <si>
    <t>abdulahi Warsame</t>
  </si>
  <si>
    <t>4618 Clinton Ave, Minneapolis</t>
  </si>
  <si>
    <t>Washington Interfaith Network</t>
  </si>
  <si>
    <t>1226 Vermont Avenue NW</t>
  </si>
  <si>
    <t>3548 Bryant Avenue South</t>
  </si>
  <si>
    <t>Waterfall Unity Alliance</t>
  </si>
  <si>
    <t>256 West Fulton Road</t>
  </si>
  <si>
    <t>Fartun Weli</t>
  </si>
  <si>
    <t>1600 East Lake street</t>
  </si>
  <si>
    <t>West Broadway Business &amp; Area Coalition</t>
  </si>
  <si>
    <t>1011 West Broadway Ave Ste 202</t>
  </si>
  <si>
    <t>Jacqueline White</t>
  </si>
  <si>
    <t>2801 21st Ave S #250</t>
  </si>
  <si>
    <t>White Earth Band of Minnesota Chippewa</t>
  </si>
  <si>
    <t>PO Box 418</t>
  </si>
  <si>
    <t>Wicked Questions</t>
  </si>
  <si>
    <t>3216 31st Ave S</t>
  </si>
  <si>
    <t>Wilkes-Barre Township K9</t>
  </si>
  <si>
    <t>Winneman Wintu Tribe</t>
  </si>
  <si>
    <t>14840 Bear Mountain Road</t>
  </si>
  <si>
    <t>Women's Health Center of Duluth, P.A.</t>
  </si>
  <si>
    <t>32 E 1st St., Ste 300</t>
  </si>
  <si>
    <t>Mario Zarate</t>
  </si>
  <si>
    <t>Preferred City_ State</t>
  </si>
  <si>
    <t>Minneapolis, MN</t>
  </si>
  <si>
    <t>Madison, WI</t>
  </si>
  <si>
    <t>Brooklyn Center, MN</t>
  </si>
  <si>
    <t>Moorhead, MN</t>
  </si>
  <si>
    <t>St. Paul, MN</t>
  </si>
  <si>
    <t>Bloomington, MN</t>
  </si>
  <si>
    <t>Aitkin, MN</t>
  </si>
  <si>
    <t>Tucson, AZ</t>
  </si>
  <si>
    <t>Hayward, WI</t>
  </si>
  <si>
    <t>San Carlos, AZ</t>
  </si>
  <si>
    <t>BROKLYN CENTER, MN</t>
  </si>
  <si>
    <t>New York, NY</t>
  </si>
  <si>
    <t>Sandstone, MN</t>
  </si>
  <si>
    <t>Saint Paul, MN</t>
  </si>
  <si>
    <t>Bemidji, MN</t>
  </si>
  <si>
    <t>Pine River, MN</t>
  </si>
  <si>
    <t>Sacramento, CA</t>
  </si>
  <si>
    <t>Tuscon, AZ</t>
  </si>
  <si>
    <t>Lake Andes, SD</t>
  </si>
  <si>
    <t>Rochester, MN</t>
  </si>
  <si>
    <t>New Hope, MN</t>
  </si>
  <si>
    <t>Cobleskill, NY</t>
  </si>
  <si>
    <t>Duluth, MN</t>
  </si>
  <si>
    <t>Brooklyn Park, MN</t>
  </si>
  <si>
    <t>Gallup, NM</t>
  </si>
  <si>
    <t>Cortez, CO</t>
  </si>
  <si>
    <t>Washington, DC</t>
  </si>
  <si>
    <t>Boulder, CO</t>
  </si>
  <si>
    <t>Waubun, MN</t>
  </si>
  <si>
    <t>St. Cloud, MN</t>
  </si>
  <si>
    <t>Takoma Park, MD</t>
  </si>
  <si>
    <t>Tampa, FL</t>
  </si>
  <si>
    <t>Longmont, CO</t>
  </si>
  <si>
    <t>Dallas, TX</t>
  </si>
  <si>
    <t>Alexandria, VA</t>
  </si>
  <si>
    <t>Durango, CO</t>
  </si>
  <si>
    <t>Berkeley, CA</t>
  </si>
  <si>
    <t>Robbinsdale, MN</t>
  </si>
  <si>
    <t>Dickinson, ND</t>
  </si>
  <si>
    <t>Red Wing, MN</t>
  </si>
  <si>
    <t>Prior Lake, MN</t>
  </si>
  <si>
    <t>Minneapolis MN, MN</t>
  </si>
  <si>
    <t>Fort Chipewyan, AB</t>
  </si>
  <si>
    <t>San Francisco, CA</t>
  </si>
  <si>
    <t>Rosebud, SD</t>
  </si>
  <si>
    <t>Inver Grove Heights, MN</t>
  </si>
  <si>
    <t>Mankato, MN</t>
  </si>
  <si>
    <t>Oakland, CA</t>
  </si>
  <si>
    <t>New Brighton, MN</t>
  </si>
  <si>
    <t>Athabasca, AB</t>
  </si>
  <si>
    <t>St Paul, MN</t>
  </si>
  <si>
    <t>Lewiston, MN</t>
  </si>
  <si>
    <t>St.  Paul, MN</t>
  </si>
  <si>
    <t>Cuyahoga Falls, OH</t>
  </si>
  <si>
    <t>Gray, LA</t>
  </si>
  <si>
    <t>Little Buffalo, AB</t>
  </si>
  <si>
    <t>Granite Falls, MN</t>
  </si>
  <si>
    <t>Bagley, MN</t>
  </si>
  <si>
    <t>Olympia, WA</t>
  </si>
  <si>
    <t>Chicago, IL</t>
  </si>
  <si>
    <t>Spring Lake Park, MN</t>
  </si>
  <si>
    <t>Callaway, MN</t>
  </si>
  <si>
    <t>Minnepolis, MN</t>
  </si>
  <si>
    <t>Pa'auila, HI</t>
  </si>
  <si>
    <t>Winona, MN</t>
  </si>
  <si>
    <t>Fridley, MN</t>
  </si>
  <si>
    <t>Shiprock, NM</t>
  </si>
  <si>
    <t>Fargo, ND</t>
  </si>
  <si>
    <t>Seattle, WA</t>
  </si>
  <si>
    <t>McGregor, MN</t>
  </si>
  <si>
    <t>Ponca City, OK</t>
  </si>
  <si>
    <t>Cloquet, MN</t>
  </si>
  <si>
    <t>Long Beach, CA</t>
  </si>
  <si>
    <t>St. PAul, MN</t>
  </si>
  <si>
    <t>Maplewood, MN</t>
  </si>
  <si>
    <t>Garyowen, MT</t>
  </si>
  <si>
    <t>Philadelphia, PA</t>
  </si>
  <si>
    <t>White Park, MN</t>
  </si>
  <si>
    <t>Saitn Paul, MN</t>
  </si>
  <si>
    <t>Durham, NC</t>
  </si>
  <si>
    <t>Missoula, MT</t>
  </si>
  <si>
    <t>West Fulton, NY</t>
  </si>
  <si>
    <t>Mpls, MN</t>
  </si>
  <si>
    <t>White Earth, MN</t>
  </si>
  <si>
    <t>Wilkes-Barre Township, PA</t>
  </si>
  <si>
    <t>Redding, CA</t>
  </si>
  <si>
    <t>10000</t>
  </si>
  <si>
    <t>Amount(s)</t>
  </si>
  <si>
    <t>Year(s)</t>
  </si>
  <si>
    <t>Address</t>
  </si>
  <si>
    <t>Address combined</t>
  </si>
  <si>
    <t>Doris Stands</t>
  </si>
  <si>
    <t>230 W. 2nd Street</t>
  </si>
  <si>
    <t>Morton, MN</t>
  </si>
  <si>
    <t>Emily Goldberg</t>
  </si>
  <si>
    <t>2023 Milwaukee Avenue</t>
  </si>
  <si>
    <t>Headwaters Foundation for Justice</t>
  </si>
  <si>
    <t>2801 21st Ave S Ste 132B</t>
  </si>
  <si>
    <t>Communities United Against Police Brutality</t>
  </si>
  <si>
    <t>4200 Cedar Ave S., Suite 5</t>
  </si>
  <si>
    <t>25 6th Street W</t>
  </si>
  <si>
    <t>503 Irving Ave N Ste 100</t>
  </si>
  <si>
    <t>African American Action Committee</t>
  </si>
  <si>
    <t>3316 80th Ave. N</t>
  </si>
  <si>
    <t>Brooklyn Park, MD</t>
  </si>
  <si>
    <t>Interlocking Realities</t>
  </si>
  <si>
    <t>3809 Harriet Ave. S</t>
  </si>
  <si>
    <t>579 Wells St.</t>
  </si>
  <si>
    <t>Walk-In Counseling Center</t>
  </si>
  <si>
    <t>2421 Chicago Ave.</t>
  </si>
  <si>
    <t>Workers Interfaith Network</t>
  </si>
  <si>
    <t>2511 E Franklin St.</t>
  </si>
  <si>
    <t>Twin Cities Community Voice Mail</t>
  </si>
  <si>
    <t>1821 University Ave W Ste N184</t>
  </si>
  <si>
    <t>The Circle</t>
  </si>
  <si>
    <t>1508 E Franklin Ave Ste 1</t>
  </si>
  <si>
    <t>Women's Network of the Red River Valley</t>
  </si>
  <si>
    <t>PO Box 182</t>
  </si>
  <si>
    <t>1414 E Franklin Ave.</t>
  </si>
  <si>
    <t>United Theological Seminary</t>
  </si>
  <si>
    <t>Center for Public Ministry 3000 Fifth Street Northwest</t>
  </si>
  <si>
    <t>2380 Wycliff St Ste 200</t>
  </si>
  <si>
    <t>Changemakers</t>
  </si>
  <si>
    <t>PO Box 475164</t>
  </si>
  <si>
    <t>Environmental Justice Advocates of Minnesota</t>
  </si>
  <si>
    <t>3700 Bryant Ave N # 201</t>
  </si>
  <si>
    <t>Mixed Blood Theatre</t>
  </si>
  <si>
    <t>1501 S 4th St</t>
  </si>
  <si>
    <t>TakeAction MN</t>
  </si>
  <si>
    <t>705 Raymond Ave #100</t>
  </si>
  <si>
    <t>Nonprofits Assistance Fund</t>
  </si>
  <si>
    <t>2801 21st Ave S Sutie 210</t>
  </si>
  <si>
    <t>2021 East Hennepin Avenue, Ste 155</t>
  </si>
  <si>
    <t>Mental Health Consumer/Survivor Network of Minnesota, Inc.</t>
  </si>
  <si>
    <t>540 Fairview Ave. South Ste 301</t>
  </si>
  <si>
    <t>ISAIAH</t>
  </si>
  <si>
    <t>2356 University Ave, Suite 405</t>
  </si>
  <si>
    <t>Alliance for Metropolitan Stability</t>
  </si>
  <si>
    <t>2525 E. Franklin Avenue, Suite 200</t>
  </si>
  <si>
    <t>Minnesota Center for Environmental Advocacy</t>
  </si>
  <si>
    <t>26 E Exchange St, Ste 206</t>
  </si>
  <si>
    <t>Pro Choice Resources</t>
  </si>
  <si>
    <t>250 3rd Ave N Ste 625</t>
  </si>
  <si>
    <t>KFAI Fresh Air Community Radio</t>
  </si>
  <si>
    <t>1808 Riverside Ave Ste 300</t>
  </si>
  <si>
    <t>In the Heart of the Beast Puppet and Mask Theatre</t>
  </si>
  <si>
    <t>1500 East Lake Street</t>
  </si>
  <si>
    <t>Minnesota Public Radio</t>
  </si>
  <si>
    <t>480 Cedar Street</t>
  </si>
  <si>
    <t>Association of Community Organizations for Reform Now(ACORN)</t>
  </si>
  <si>
    <t>757 Raymond Avenue #200</t>
  </si>
  <si>
    <t>Institute for Agriculture and Trade Policy</t>
  </si>
  <si>
    <t>2105 1st Ave S</t>
  </si>
  <si>
    <t>180 Degrees, Inc.</t>
  </si>
  <si>
    <t>236 Clifton Ave. So.</t>
  </si>
  <si>
    <t>St. Luke Presbyterian Church</t>
  </si>
  <si>
    <t>3121 Groveland School Rd.</t>
  </si>
  <si>
    <t>Wayzata, MN</t>
  </si>
  <si>
    <t>North Star Fund</t>
  </si>
  <si>
    <t>520 8th Ave Rm 2203</t>
  </si>
  <si>
    <t>Southside Family Charter School</t>
  </si>
  <si>
    <t>4500 Clinton Ave</t>
  </si>
  <si>
    <t>Migizi Communications</t>
  </si>
  <si>
    <t>1516 E Lake St # 300</t>
  </si>
  <si>
    <t>2375 University Ave W Ste 150</t>
  </si>
  <si>
    <t>Clean Water Fund</t>
  </si>
  <si>
    <t>308 Hennepin Ave. East</t>
  </si>
  <si>
    <t>Community Shares of Minnesota</t>
  </si>
  <si>
    <t>1619 Dayton Ave Ste 323</t>
  </si>
  <si>
    <t>Minnesota Council of Nonprofits</t>
  </si>
  <si>
    <t>2314 University Ave W Ste 20</t>
  </si>
  <si>
    <t>Intermedia Arts</t>
  </si>
  <si>
    <t>2822 Lyndale Ave S</t>
  </si>
  <si>
    <t>ACT for Education</t>
  </si>
  <si>
    <t>4234 Harriet Ave S</t>
  </si>
  <si>
    <t>Adults' &amp; Children's Alliance (ACA)</t>
  </si>
  <si>
    <t>2885 Country Drive</t>
  </si>
  <si>
    <t>Little Canada, MN</t>
  </si>
  <si>
    <t>Mentoring Young Adults (MYA)</t>
  </si>
  <si>
    <t>550 Rice Street, Suite 103</t>
  </si>
  <si>
    <t>African American Task Force Against Crimes and Money Launder</t>
  </si>
  <si>
    <t>3300 CO RD #301</t>
  </si>
  <si>
    <t>Youth Services Network</t>
  </si>
  <si>
    <t>YouthLink</t>
  </si>
  <si>
    <t>41 North 12th Street</t>
  </si>
  <si>
    <t>Debate Minnesota</t>
  </si>
  <si>
    <t>c/o LaCroix-Dalluhn Consulting 1519 Chelsea Street</t>
  </si>
  <si>
    <t>Catalyst Foundation</t>
  </si>
  <si>
    <t>710 St. Olaf Avenue PO Box 13</t>
  </si>
  <si>
    <t>Northfield, MN</t>
  </si>
  <si>
    <t>All Nations Indigenous Center</t>
  </si>
  <si>
    <t>320 East Second Street</t>
  </si>
  <si>
    <t>Build Wealth MN, Inc.</t>
  </si>
  <si>
    <t>2100 Plymouth Avenue North, #104</t>
  </si>
  <si>
    <t>Center for Multicultural Mediation and Restoration Justice</t>
  </si>
  <si>
    <t>7800 Metro Parkway, Suite 300</t>
  </si>
  <si>
    <t>Century College Foundation</t>
  </si>
  <si>
    <t>3300 Century Ave. N</t>
  </si>
  <si>
    <t>White Bear Lake, MN</t>
  </si>
  <si>
    <t>City of Lilydale</t>
  </si>
  <si>
    <t>1011 Sibley Memorial Hwy</t>
  </si>
  <si>
    <t>Lilydale, MN</t>
  </si>
  <si>
    <t>City of Minneapolis Transgender Issues Work Group</t>
  </si>
  <si>
    <t>350 South 5th Street</t>
  </si>
  <si>
    <t>Cooperative Development Services, Inc.</t>
  </si>
  <si>
    <t>145 University Ave. West, Suite 450</t>
  </si>
  <si>
    <t>Diversity Council</t>
  </si>
  <si>
    <t>1130 1/2 7th St NW, Suite #204</t>
  </si>
  <si>
    <t>Greater Upper Nile Community Services and Development</t>
  </si>
  <si>
    <t>302 Central Ave N Suite 11</t>
  </si>
  <si>
    <t>Faribault, MN</t>
  </si>
  <si>
    <t>Hmong Nationalities Organization</t>
  </si>
  <si>
    <t>796 E. 7th Street</t>
  </si>
  <si>
    <t>KARA Invisiblechildren.org</t>
  </si>
  <si>
    <t>9101 1st St. South #4091</t>
  </si>
  <si>
    <t>Hopkins, MN</t>
  </si>
  <si>
    <t>Lutheran Social Services of MN-Housing Services</t>
  </si>
  <si>
    <t>2400 Park Avenue</t>
  </si>
  <si>
    <t>Native Youth Workers Circle</t>
  </si>
  <si>
    <t>1001 E. Lake St</t>
  </si>
  <si>
    <t>Northside Residents Redevelopment Council (NRRC)</t>
  </si>
  <si>
    <t>1315 Penn Avenue North</t>
  </si>
  <si>
    <t>Northwest Indian OIC</t>
  </si>
  <si>
    <t>1819 Bemidji Ave.</t>
  </si>
  <si>
    <t>Sierra Leone Community in Minnesota</t>
  </si>
  <si>
    <t>3333 North 4th Street</t>
  </si>
  <si>
    <t>South East Como Improvement Association</t>
  </si>
  <si>
    <t>1170 15th Ave SE, Suite 302</t>
  </si>
  <si>
    <t>St. Cloud NAACP</t>
  </si>
  <si>
    <t>PO Box 7042</t>
  </si>
  <si>
    <t>Urban Children and Youth Education Center</t>
  </si>
  <si>
    <t>3900 Jackson Street NE</t>
  </si>
  <si>
    <t>Columbia Heights, MN</t>
  </si>
  <si>
    <t>Oceti Wakan</t>
  </si>
  <si>
    <t>PO Box 1958</t>
  </si>
  <si>
    <t>Pine Ridge, SD</t>
  </si>
  <si>
    <t>Claiming our Place</t>
  </si>
  <si>
    <t>PO Box 329 Station B, Happy Valley</t>
  </si>
  <si>
    <t>Goose Bay, NL</t>
  </si>
  <si>
    <t>Ancestral Pride</t>
  </si>
  <si>
    <t>Box 6</t>
  </si>
  <si>
    <t>Ahoust, BC</t>
  </si>
  <si>
    <t>Halau Hula Ke‘alaonamaupua</t>
  </si>
  <si>
    <t>PO Box 6147</t>
  </si>
  <si>
    <t>Kamuela, HI</t>
  </si>
  <si>
    <t>Debwe Youth Center</t>
  </si>
  <si>
    <t>1038 Campbell Avenue</t>
  </si>
  <si>
    <t>Detroit Lakes, MN</t>
  </si>
  <si>
    <t>FairVote MN</t>
  </si>
  <si>
    <t>3606 Harriet AveS</t>
  </si>
  <si>
    <t>Opportunity Partners</t>
  </si>
  <si>
    <t>5500 Opportunity Court</t>
  </si>
  <si>
    <t>Minnetonka, MN</t>
  </si>
  <si>
    <t>African American Leadership Forum</t>
  </si>
  <si>
    <t>2801 21st Ave S Ste. 132B</t>
  </si>
  <si>
    <t>Move to Amend</t>
  </si>
  <si>
    <t>PO BOX 610</t>
  </si>
  <si>
    <t>Eureka, CA</t>
  </si>
  <si>
    <t>Coalition of Immokalee Workers</t>
  </si>
  <si>
    <t>P.O. Box 603</t>
  </si>
  <si>
    <t>Immokalee, FL</t>
  </si>
  <si>
    <t>Arrowhead Economic Opportunity Agency</t>
  </si>
  <si>
    <t>702 3rd Avenue South</t>
  </si>
  <si>
    <t>Virginia, MN</t>
  </si>
  <si>
    <t>ColorofChange Education Fund Inc.</t>
  </si>
  <si>
    <t>1714 Franklin Street, Suite 100-136</t>
  </si>
  <si>
    <t>Environmental Film Festival</t>
  </si>
  <si>
    <t>1228 1/2 31st Street NW</t>
  </si>
  <si>
    <t>Shared Interest</t>
  </si>
  <si>
    <t>121 W. 27th Street., Suite 805</t>
  </si>
  <si>
    <t>Southern Poverty Law Center</t>
  </si>
  <si>
    <t>400 Washington Ave.</t>
  </si>
  <si>
    <t>Montgomery, AL</t>
  </si>
  <si>
    <t>Pesticide Action Network</t>
  </si>
  <si>
    <t>1611 Telegraph Ave. Suite 1200</t>
  </si>
  <si>
    <t>Advancement Project</t>
  </si>
  <si>
    <t>1220 L Street NW, Suite 850</t>
  </si>
  <si>
    <t>Yansa Inc</t>
  </si>
  <si>
    <t>14 Church Street,</t>
  </si>
  <si>
    <t>Cold Spring, NY</t>
  </si>
  <si>
    <t>The Lift Garage</t>
  </si>
  <si>
    <t>5925 Nicollet Avenue South</t>
  </si>
  <si>
    <t>Africa Solution Foundation</t>
  </si>
  <si>
    <t>5701 Shingle Creek Parkway, 661</t>
  </si>
  <si>
    <t>Metro Blooms</t>
  </si>
  <si>
    <t>P.O. Box 17099</t>
  </si>
  <si>
    <t>2214 Larry Ho Drive</t>
  </si>
  <si>
    <t>Grassroots Policy Project</t>
  </si>
  <si>
    <t>1515 Osford Street, #1D</t>
  </si>
  <si>
    <t>501 north dale</t>
  </si>
  <si>
    <t>St paul, MN</t>
  </si>
  <si>
    <t>Caty Royce</t>
  </si>
  <si>
    <t>Indigenous Peoples Task Force</t>
  </si>
  <si>
    <t>1335 E. 23rd St</t>
  </si>
  <si>
    <t>Waite House</t>
  </si>
  <si>
    <t>125 West Broadway Ave, Suite 130</t>
  </si>
  <si>
    <t>Jobs Now Coalition</t>
  </si>
  <si>
    <t>550 Rice Street, Suite 216</t>
  </si>
  <si>
    <t>aMaze</t>
  </si>
  <si>
    <t>475 Cleveland Ave N, Suite 322</t>
  </si>
  <si>
    <t>Student Association for the Advancement of Children as Peopl</t>
  </si>
  <si>
    <t>4500 Clinton Ave S</t>
  </si>
  <si>
    <t>Women Against Military Madness</t>
  </si>
  <si>
    <t>4200 Cedar Ave S Suite 322</t>
  </si>
  <si>
    <t>Native American Educational Technologies</t>
  </si>
  <si>
    <t>8558 N. County Road K PO Box 1500, Lac Courte Oreilles Reservation</t>
  </si>
  <si>
    <t>PFund Foundation</t>
  </si>
  <si>
    <t>2801 21st Ave S Suite 132B</t>
  </si>
  <si>
    <t>230 West 2nd Street, P.O. Box 2</t>
  </si>
  <si>
    <t>cathy spann</t>
  </si>
  <si>
    <t>1101 West Broadway Avenue, Suite 100</t>
  </si>
  <si>
    <t>1821 University Avenue West, S-292</t>
  </si>
  <si>
    <t xml:space="preserve">2353 Rice Street, Suite 240 </t>
  </si>
  <si>
    <t>Roseville, MN</t>
  </si>
  <si>
    <t>600 - 18th Avenue North, Suite 1</t>
  </si>
  <si>
    <t>2511 East Franklin Avenue, Suite 100</t>
  </si>
  <si>
    <t>ASL Blend</t>
  </si>
  <si>
    <t>5801 Duluth Street, Suite 110</t>
  </si>
  <si>
    <t>Golden Valley, MN</t>
  </si>
  <si>
    <t>216 North Oak Avenue</t>
  </si>
  <si>
    <t>Owatonna, MN</t>
  </si>
  <si>
    <t>3715 Chicago Avenue</t>
  </si>
  <si>
    <t>771 Raymond Avenue</t>
  </si>
  <si>
    <t>Minneapolis Television Network</t>
  </si>
  <si>
    <t>1620 Central Avenue, Suite 175</t>
  </si>
  <si>
    <t>Main Street Project</t>
  </si>
  <si>
    <t>105 4th Street East, Suite 213</t>
  </si>
  <si>
    <t xml:space="preserve">P. O. Box 2427 </t>
  </si>
  <si>
    <t>1200 West Broadway Avenue #180</t>
  </si>
  <si>
    <t>CrossingBarriers</t>
  </si>
  <si>
    <t>Witness for Peace - Upper Midwest</t>
  </si>
  <si>
    <t>PO Box 6078</t>
  </si>
  <si>
    <t>Isuroon</t>
  </si>
  <si>
    <t>3416 Niollet Avenue South</t>
  </si>
  <si>
    <t>PO Box 97 607 Main Ave</t>
  </si>
  <si>
    <t>Tiwahe Foundation</t>
  </si>
  <si>
    <t>2801 21st Ave S, Ste 132F</t>
  </si>
  <si>
    <t>Microgrants</t>
  </si>
  <si>
    <t>1035 E Franklin Ave</t>
  </si>
  <si>
    <t>Achieve Minneapolis</t>
  </si>
  <si>
    <t>111 3rd Ave S #5</t>
  </si>
  <si>
    <t>Beacon Hill Food Forest</t>
  </si>
  <si>
    <t>Seattle P-Patch Trust PO Box 19748</t>
  </si>
  <si>
    <t>Waikiki Hawaiian Civic Club &amp; Ahahui Siwila Sawaii - Kapole</t>
  </si>
  <si>
    <t>2847 Waialae Avenue</t>
  </si>
  <si>
    <t>HI</t>
  </si>
  <si>
    <t>Indian People's Action</t>
  </si>
  <si>
    <t>PO Box 113</t>
  </si>
  <si>
    <t>Butte, MT</t>
  </si>
  <si>
    <t>Southwest Indian Uranium Forum</t>
  </si>
  <si>
    <t>PO Box 5058</t>
  </si>
  <si>
    <t>Prairie Dust Films (LLC), Crying Earth Rise Up</t>
  </si>
  <si>
    <t>2631 N Sacramento #2</t>
  </si>
  <si>
    <t>Metis Horticulture &amp; Heritage Society Foundations</t>
  </si>
  <si>
    <t>4-640 Broadway Ave</t>
  </si>
  <si>
    <t>Winnepeg Manitoba</t>
  </si>
  <si>
    <t>Earth Lodge Movement</t>
  </si>
  <si>
    <t>PO Box 163</t>
  </si>
  <si>
    <t>New Town, ND</t>
  </si>
  <si>
    <t>Honoring the Bottomlands</t>
  </si>
  <si>
    <t>220 8th Ave N</t>
  </si>
  <si>
    <t>Pooenadu Organic Farms</t>
  </si>
  <si>
    <t>2615 8th Ave</t>
  </si>
  <si>
    <t>941 Lafond Ave Suite 100</t>
  </si>
  <si>
    <t>Montana Women Vote</t>
  </si>
  <si>
    <t>725 W. Alder Street Suite #21</t>
  </si>
  <si>
    <t>Violence Awareness &amp; Response Program</t>
  </si>
  <si>
    <t>218 Centennial Student Union</t>
  </si>
  <si>
    <t>ecoCheyenne</t>
  </si>
  <si>
    <t>2020 Tired Man Road</t>
  </si>
  <si>
    <t>Billings, MT</t>
  </si>
  <si>
    <t>Protecting the Penokees</t>
  </si>
  <si>
    <t>PO Box 1500</t>
  </si>
  <si>
    <t>Lummi Totem Pole Project</t>
  </si>
  <si>
    <t>PO Box 3074</t>
  </si>
  <si>
    <t>Indio, CA</t>
  </si>
  <si>
    <t>Hopi Tutskwa Permaculture</t>
  </si>
  <si>
    <t xml:space="preserve">PO Box 967 144 Leupp Road </t>
  </si>
  <si>
    <t>Kykotsmovi, AZ</t>
  </si>
  <si>
    <t>Indigenous Tar Sands Campaign of the Polaris Institute</t>
  </si>
  <si>
    <t>PO Box 106</t>
  </si>
  <si>
    <t>Essex, NY</t>
  </si>
  <si>
    <t>Indigenous Environmental Network</t>
  </si>
  <si>
    <t>PO Box 485</t>
  </si>
  <si>
    <t>Multicultural Alliance for a Safe Environment</t>
  </si>
  <si>
    <t>PO Box 4524</t>
  </si>
  <si>
    <t>Albuquerque, NM</t>
  </si>
  <si>
    <t>Resource Generation</t>
  </si>
  <si>
    <t>220 E 23rd Street Suite 509</t>
  </si>
  <si>
    <t>Owe Aku International Justice Project, Inc.</t>
  </si>
  <si>
    <t>PO Box 325</t>
  </si>
  <si>
    <t>Manderson, SD</t>
  </si>
  <si>
    <t>Black Prisoners Caucus</t>
  </si>
  <si>
    <t>PO Box 46485</t>
  </si>
  <si>
    <t>Western Energy Justice Project</t>
  </si>
  <si>
    <t>PO Box 3662</t>
  </si>
  <si>
    <t>Sung Nagi Okolakiciye/Horse Spirit Society</t>
  </si>
  <si>
    <t>PO Box 430</t>
  </si>
  <si>
    <t xml:space="preserve">National Wildlife Federation
</t>
  </si>
  <si>
    <t xml:space="preserve">Tribal Lands Partnerships
 2020 Tired Man Road </t>
  </si>
  <si>
    <t>Polaris Institute USA</t>
  </si>
  <si>
    <t>African Career, Education and Resource, Inc</t>
  </si>
  <si>
    <t>7420 Unity Ave N Suite 110</t>
  </si>
  <si>
    <t>African Chamber of Commerce</t>
  </si>
  <si>
    <t>2751 Hennepin Ave, #142</t>
  </si>
  <si>
    <t>2801 21st Ave S Ste 100</t>
  </si>
  <si>
    <t>Sean Gosiewski</t>
  </si>
  <si>
    <t>Alternate ROOTS</t>
  </si>
  <si>
    <t>1083 Austin Ave</t>
  </si>
  <si>
    <t>Atlanta, GA</t>
  </si>
  <si>
    <t>ARC United</t>
  </si>
  <si>
    <t>1819 Bemidji Avenue North, Suite 2</t>
  </si>
  <si>
    <t>Arcata Press I Saint Paul Almanac</t>
  </si>
  <si>
    <t>275 East Fourth St., Suite 701</t>
  </si>
  <si>
    <t>Association of Black Foundation Executives</t>
  </si>
  <si>
    <t>333 Seventh Ave - 14th Floor</t>
  </si>
  <si>
    <t>Bad River Band of Lake Superior Tribe of Chippewa Indians</t>
  </si>
  <si>
    <t>PO Box 39</t>
  </si>
  <si>
    <t>Odanah, WI</t>
  </si>
  <si>
    <t>Beltrami Humane Society</t>
  </si>
  <si>
    <t>1612 Carr Lake Road SE</t>
  </si>
  <si>
    <t>Body Wisdom</t>
  </si>
  <si>
    <t>2273 Telegraph Avenue</t>
  </si>
  <si>
    <t>Breast Cancer Action</t>
  </si>
  <si>
    <t>657 Mission Street, Suite 302</t>
  </si>
  <si>
    <t>Casa de Coco Sea Turtle Conservation Project</t>
  </si>
  <si>
    <t>3025 Johnson Street NE</t>
  </si>
  <si>
    <t>Ce Tempoxcalli</t>
  </si>
  <si>
    <t>179 Robie St., Suite 274</t>
  </si>
  <si>
    <t>Center for Community Change</t>
  </si>
  <si>
    <t>1536 U Street NW</t>
  </si>
  <si>
    <t>Center for Hmong Arts and Talent (CHAT)</t>
  </si>
  <si>
    <t>995 University Ave. Suite 220A</t>
  </si>
  <si>
    <t>Honor the Earth</t>
  </si>
  <si>
    <t>PO Box 63607 Main Street</t>
  </si>
  <si>
    <t>PO Box 7266 4200 Cedar Ave</t>
  </si>
  <si>
    <t>1000 Friends of MN</t>
  </si>
  <si>
    <t>1031 West 7th Street</t>
  </si>
  <si>
    <t>A MN Without Poverty</t>
  </si>
  <si>
    <t>550 Rice Street</t>
  </si>
  <si>
    <t>The Access Group</t>
  </si>
  <si>
    <t>114 Payne Ave</t>
  </si>
  <si>
    <t>Access Justice</t>
  </si>
  <si>
    <t>310 Fourth Ave S. Suite 1006</t>
  </si>
  <si>
    <t>Access Press</t>
  </si>
  <si>
    <t>161 Saint Anthony Ave Ste 910</t>
  </si>
  <si>
    <t>Action Through Churches Together</t>
  </si>
  <si>
    <t>PO Box 247</t>
  </si>
  <si>
    <t>Grand Rapids, MN</t>
  </si>
  <si>
    <t>Advocating Change Together (ACT)</t>
  </si>
  <si>
    <t>1821 University Ave, Ste 306 South</t>
  </si>
  <si>
    <t>African &amp; American Friendship Association for Cooperation an</t>
  </si>
  <si>
    <t>Midway Griggs Building, 1821 University Ave. W S-328</t>
  </si>
  <si>
    <t>African Health Action Corporation</t>
  </si>
  <si>
    <t>1931 1st Ave. S, Suite 100</t>
  </si>
  <si>
    <t>American Civil Liberties Union-MN Foundation</t>
  </si>
  <si>
    <t>2300 Myrtle Ave, Suite 180</t>
  </si>
  <si>
    <t>American Indian Safety Council, Minneapolis</t>
  </si>
  <si>
    <t>2419 Nicollet Ave</t>
  </si>
  <si>
    <t>Anchor Development</t>
  </si>
  <si>
    <t>2914 15th Ave S</t>
  </si>
  <si>
    <t>Arc Central</t>
  </si>
  <si>
    <t>6112 322nd St.</t>
  </si>
  <si>
    <t>Asian Women United of Minnesota (AWUM)</t>
  </si>
  <si>
    <t>P.O. Box 6223</t>
  </si>
  <si>
    <t>Aurora St. Anthony Neighborhood Development Company</t>
  </si>
  <si>
    <t>774 University Ave W</t>
  </si>
  <si>
    <t>The Barbara Schneider Foundation</t>
  </si>
  <si>
    <t>2419 Nicollet Ave S</t>
  </si>
  <si>
    <t>Standpoint</t>
  </si>
  <si>
    <t>1611 Park Ave. S Floor 2</t>
  </si>
  <si>
    <t>Birthright Unplugged</t>
  </si>
  <si>
    <t>18 Northview Drive</t>
  </si>
  <si>
    <t>Glenside, PA</t>
  </si>
  <si>
    <t>Blake Road Corridor Collaborative</t>
  </si>
  <si>
    <t>12990 St. Davids Road</t>
  </si>
  <si>
    <t>Brotherhood, Inc</t>
  </si>
  <si>
    <t>625 University Ave, Suite 203</t>
  </si>
  <si>
    <t>Browning the Green</t>
  </si>
  <si>
    <t>4137 Bloomington Ave. S</t>
  </si>
  <si>
    <t>Center for Cross-Cultural Health</t>
  </si>
  <si>
    <t>34 13th Ave. NE, Suite B002B</t>
  </si>
  <si>
    <t>Center for Parental Responsibility</t>
  </si>
  <si>
    <t>P.O. Box 130776</t>
  </si>
  <si>
    <t>Central MN Housing Partnership</t>
  </si>
  <si>
    <t>37 28th Ave. North Suite 102</t>
  </si>
  <si>
    <t>Centro Cultural de Fargo/Moorhead</t>
  </si>
  <si>
    <t>1014 19th St. S.</t>
  </si>
  <si>
    <t>Cheyenne River Youth Project</t>
  </si>
  <si>
    <t>P.O. Box 410 1200 Missouri Ave St 102</t>
  </si>
  <si>
    <t>Eagle Butte, SD</t>
  </si>
  <si>
    <t>Chicano Latino Affairs Council</t>
  </si>
  <si>
    <t>60 Empire Dr., Ste. 203</t>
  </si>
  <si>
    <t>Child Care WORKS</t>
  </si>
  <si>
    <t>709 University Ave W</t>
  </si>
  <si>
    <t>Child Protect International</t>
  </si>
  <si>
    <t>214 Social Sciences Tower, 267 19th Ave. N</t>
  </si>
  <si>
    <t>Churches United in Ministry</t>
  </si>
  <si>
    <t>102 W 2nd St</t>
  </si>
  <si>
    <t>1508 E Franklin Ave Suite 102</t>
  </si>
  <si>
    <t>Citizens for a Safer MN Education Fund</t>
  </si>
  <si>
    <t>2395 University Ave W  Suite 317</t>
  </si>
  <si>
    <t>City of Harris</t>
  </si>
  <si>
    <t>43970 Ginger Ave, P.O. Box 111</t>
  </si>
  <si>
    <t>Harris, MN</t>
  </si>
  <si>
    <t>City of Lakes Community Land Trust</t>
  </si>
  <si>
    <t>2017 E 38th St</t>
  </si>
  <si>
    <t>Civic Media Minnesota Production Company Inc.</t>
  </si>
  <si>
    <t>835 Linwood Ave.</t>
  </si>
  <si>
    <t>Codepink</t>
  </si>
  <si>
    <t>2010 Linden Ave</t>
  </si>
  <si>
    <t>Venice, CA</t>
  </si>
  <si>
    <t>Common Cause Minnesota</t>
  </si>
  <si>
    <t>Community Action Against Racism (CAAR)</t>
  </si>
  <si>
    <t>PO Box 13702</t>
  </si>
  <si>
    <t>Community Table Association</t>
  </si>
  <si>
    <t>1521 University Ave SE</t>
  </si>
  <si>
    <t>Confederation of Somali Community MN</t>
  </si>
  <si>
    <t>420 15 Ave S</t>
  </si>
  <si>
    <t>2101 Hennepin Ave S</t>
  </si>
  <si>
    <t>Corcoran Neighborhood Organization</t>
  </si>
  <si>
    <t>3451 Cedar Ave. S.</t>
  </si>
  <si>
    <t>courageous heARTS</t>
  </si>
  <si>
    <t>4164 Cedar Ave</t>
  </si>
  <si>
    <t>712 University Ave W</t>
  </si>
  <si>
    <t>Dakota Ojibwe Language Revitalization Alliance</t>
  </si>
  <si>
    <t>1433 E Franklin Ave Ste 6</t>
  </si>
  <si>
    <t>Dakota Ojibwe Language Revitalization Alliance (DORLA)</t>
  </si>
  <si>
    <t>1308 E Franklin Ave., Suite 126</t>
  </si>
  <si>
    <t>Daughter Caregiver Network</t>
  </si>
  <si>
    <t>5567 Spruce Road</t>
  </si>
  <si>
    <t>Mound, MN</t>
  </si>
  <si>
    <t>Daughters of the Earth</t>
  </si>
  <si>
    <t>1304 19-1/2 Street South #13</t>
  </si>
  <si>
    <t>Descendant of Africa</t>
  </si>
  <si>
    <t>2516 26th St.</t>
  </si>
  <si>
    <t>District 1 Community Council</t>
  </si>
  <si>
    <t>2105 1/2 Old Hudson Road</t>
  </si>
  <si>
    <t>Duluth Children's Museum, Inc.</t>
  </si>
  <si>
    <t>115 South 29th Avenue West</t>
  </si>
  <si>
    <t>Earth keepers' Voices for Native America (EKVNA)</t>
  </si>
  <si>
    <t>2254 S. 12th Street</t>
  </si>
  <si>
    <t>Milwaukee, WI</t>
  </si>
  <si>
    <t>East Hillside Patch</t>
  </si>
  <si>
    <t>1406 E 2nd St Suite B</t>
  </si>
  <si>
    <t>East Otter Tail Soil and Water Conservation District</t>
  </si>
  <si>
    <t>801 Jenny Avenue Southwest, Suite #2</t>
  </si>
  <si>
    <t>Perham, MN</t>
  </si>
  <si>
    <t>East Side Community Radio 104.7 FM</t>
  </si>
  <si>
    <t>789 E 7th Street</t>
  </si>
  <si>
    <t>East Side Prosperity Campaign</t>
  </si>
  <si>
    <t>Emergency, Community, and Health Outreach</t>
  </si>
  <si>
    <t>125 Charles Ave</t>
  </si>
  <si>
    <t>Exodus Lending</t>
  </si>
  <si>
    <t>2730 East 31st Street</t>
  </si>
  <si>
    <t>Eyak Preservation Council (EPC)</t>
  </si>
  <si>
    <t>PO Box 460</t>
  </si>
  <si>
    <t>Cordova, AK</t>
  </si>
  <si>
    <t>Face Forward</t>
  </si>
  <si>
    <t>P.O. Box 7475</t>
  </si>
  <si>
    <t>Family Equality Council</t>
  </si>
  <si>
    <t>PO Box 3898</t>
  </si>
  <si>
    <t>Faribault Diversity Coalition</t>
  </si>
  <si>
    <t>230 Central Avenue, Suite 104</t>
  </si>
  <si>
    <t>Food Freedom Radio</t>
  </si>
  <si>
    <t>11320 Valley View Rd.</t>
  </si>
  <si>
    <t>Eden Pririe, MN</t>
  </si>
  <si>
    <t>Fostering an East Side Transit Equity Conversation (FESTEC)</t>
  </si>
  <si>
    <t>798 E 7th Street</t>
  </si>
  <si>
    <t>Friends of the Boundary Waters Wilderness</t>
  </si>
  <si>
    <t>401 North Thrid Street Suite 290</t>
  </si>
  <si>
    <t>Gardening Matters</t>
  </si>
  <si>
    <t>310 East 38th Street, Suite 204B</t>
  </si>
  <si>
    <t>Grand Aspirations</t>
  </si>
  <si>
    <t>3100 Longfellow Ave</t>
  </si>
  <si>
    <t>Grasstops, Inc</t>
  </si>
  <si>
    <t>Greater Milan Initiative (GMI)</t>
  </si>
  <si>
    <t>408 N 4th St., P.O. Box 128</t>
  </si>
  <si>
    <t>Milan, MN</t>
  </si>
  <si>
    <t>St Cloud, MN</t>
  </si>
  <si>
    <t>Greater MN Health Care Coalition</t>
  </si>
  <si>
    <t>40 N. Park St.</t>
  </si>
  <si>
    <t>Mora, MN</t>
  </si>
  <si>
    <t>Greater Mount Vernon Missionary Baptist Church</t>
  </si>
  <si>
    <t>1800 Dupont Ave N</t>
  </si>
  <si>
    <t>Green America</t>
  </si>
  <si>
    <t>1612 K Street NW, Suite 600</t>
  </si>
  <si>
    <t>Green Streets Arts Center, Wesleyan University</t>
  </si>
  <si>
    <t>51 Green Street</t>
  </si>
  <si>
    <t>Middletown, CT</t>
  </si>
  <si>
    <t>Growing Up Healthy</t>
  </si>
  <si>
    <t>1651 Jefferson Parkway</t>
  </si>
  <si>
    <t>Hacienda La Paz Inc</t>
  </si>
  <si>
    <t>3036 43rd Ave S</t>
  </si>
  <si>
    <t>Hamline Midway Coalition</t>
  </si>
  <si>
    <t>1558 Minnehaha Avenue West</t>
  </si>
  <si>
    <t>Hand over the Decision it Should be Made Hers(HOTDISH)</t>
  </si>
  <si>
    <t>32 E. 1st St. c/o Women's Health Center</t>
  </si>
  <si>
    <t>Health Care for All Minnesota</t>
  </si>
  <si>
    <t>2469 University Ave W Suite 150</t>
  </si>
  <si>
    <t>Health Initiatives for Youth</t>
  </si>
  <si>
    <t>235 Montgomery Street Suite 643</t>
  </si>
  <si>
    <t>HealthFinders Collaborative, Inc.</t>
  </si>
  <si>
    <t>P.O. Box 731</t>
  </si>
  <si>
    <t>Heart of the Earth, Inc.</t>
  </si>
  <si>
    <t>3123 East Lake Street</t>
  </si>
  <si>
    <t>Hmong American Partnership</t>
  </si>
  <si>
    <t>394 University Ave W</t>
  </si>
  <si>
    <t>Hmong Hlub Hmong Foundation (HHHF)</t>
  </si>
  <si>
    <t>569 Dale St. North</t>
  </si>
  <si>
    <t>PO Box 14127</t>
  </si>
  <si>
    <t>810 4th Ave S, Suite 204</t>
  </si>
  <si>
    <t>Indigenous Consultants, LLC</t>
  </si>
  <si>
    <t>PO Box 6377</t>
  </si>
  <si>
    <t>Hilo, HI</t>
  </si>
  <si>
    <t>Indigenous People's Green Jobs Coalition</t>
  </si>
  <si>
    <t>1920 3rd Ave S</t>
  </si>
  <si>
    <t>Jabbok Family Services</t>
  </si>
  <si>
    <t>Japanese American Citizens League, Twin Cities  Chapter</t>
  </si>
  <si>
    <t>c/o Steve Ozone, Chapter President, 2319 Cleveland St</t>
  </si>
  <si>
    <t>Jefferson Center</t>
  </si>
  <si>
    <t>325 Cedar St. Suite 700</t>
  </si>
  <si>
    <t>Jeremiah's Hope for Kindness</t>
  </si>
  <si>
    <t>P.O. Box 442</t>
  </si>
  <si>
    <t>Joint Religious Legislative Coalition</t>
  </si>
  <si>
    <t>122 W Franklin Ave Ste 315</t>
  </si>
  <si>
    <t>JUST Equity</t>
  </si>
  <si>
    <t>c/o ASANDC, 774 University Ave.</t>
  </si>
  <si>
    <t>Just Food</t>
  </si>
  <si>
    <t>1155 Avenue of the Americas, 3rd Floor.</t>
  </si>
  <si>
    <t>Juvenile Justice Project of Louisiana</t>
  </si>
  <si>
    <t>1600 Oretha Castle Haley Blvd.</t>
  </si>
  <si>
    <t>New Orleans, LA</t>
  </si>
  <si>
    <t>L.I.F.T. to End Poverty</t>
  </si>
  <si>
    <t>2233 University Ave. W, Ste. 434</t>
  </si>
  <si>
    <t>3500 38th Ave S</t>
  </si>
  <si>
    <t>Lake Street Council</t>
  </si>
  <si>
    <t>919 East Lake Street</t>
  </si>
  <si>
    <t>503 Irving Ave N Ste 100A</t>
  </si>
  <si>
    <t>Leading Individuals and Families Together to End Poverty - (</t>
  </si>
  <si>
    <t>450 N. Syndicate Street</t>
  </si>
  <si>
    <t>League of Women Voters of MN Education Fund</t>
  </si>
  <si>
    <t>550 Rice Street, Suite 201</t>
  </si>
  <si>
    <t>Little Earth of United Tribes</t>
  </si>
  <si>
    <t>2495 18th Ave S</t>
  </si>
  <si>
    <t>Little Village Environmental Justice Organization</t>
  </si>
  <si>
    <t>2856 South Millard Ave</t>
  </si>
  <si>
    <t>Lutherans Concerned/North American, DBA Reconciling Works: L</t>
  </si>
  <si>
    <t>1669 Arcade Street, Suite 2</t>
  </si>
  <si>
    <t>Lydia Women's Empowerment Project</t>
  </si>
  <si>
    <t>2100 Emerson Ave. N.</t>
  </si>
  <si>
    <t>Mad Dads</t>
  </si>
  <si>
    <t>PO Box 8980</t>
  </si>
  <si>
    <t>Make the Road New York</t>
  </si>
  <si>
    <t>301 Grove Street</t>
  </si>
  <si>
    <t>Brooklyn, NY</t>
  </si>
  <si>
    <t>Marnita's Table, Inc.</t>
  </si>
  <si>
    <t>2136 Penn Ave. S</t>
  </si>
  <si>
    <t>Mendota Mdewakanton Dakota Community</t>
  </si>
  <si>
    <t>PO Box 50835</t>
  </si>
  <si>
    <t>Mendota, MN</t>
  </si>
  <si>
    <t>Metropolitan Interfaith Council on Affordable Housing (MICAH</t>
  </si>
  <si>
    <t>463 Maria Ave</t>
  </si>
  <si>
    <t>Midtown Greenway Coalition</t>
  </si>
  <si>
    <t>2834 10th Avenue S, Greenway Level, Suite 2</t>
  </si>
  <si>
    <t>Mining Impact Coalition of Wisconsin Inc.</t>
  </si>
  <si>
    <t>PO Box 834</t>
  </si>
  <si>
    <t>Ashland, WI</t>
  </si>
  <si>
    <t>Minnesota 2020</t>
  </si>
  <si>
    <t>2324 University Ave W., Suite 204</t>
  </si>
  <si>
    <t>2233 University Ave W. Suite 434</t>
  </si>
  <si>
    <t>Minnesota Computers for Schools</t>
  </si>
  <si>
    <t>970 Pickett Street North</t>
  </si>
  <si>
    <t>Bayport, MN</t>
  </si>
  <si>
    <t>Minnesota Fair Trade Coalition</t>
  </si>
  <si>
    <t>2929 University Ave SE #150</t>
  </si>
  <si>
    <t>Minnesota Universal Health Care Coalition</t>
  </si>
  <si>
    <t>2469 University Ave. W, Suite W150</t>
  </si>
  <si>
    <t>Minnesotans Standing Together to End Poverty (MNSTEP)</t>
  </si>
  <si>
    <t>550 Rice Street Suite 1A</t>
  </si>
  <si>
    <t>MN Asian American Health Coalition</t>
  </si>
  <si>
    <t>3702 East Lake Street Suite 150</t>
  </si>
  <si>
    <t>MN Coalition for the Homeless</t>
  </si>
  <si>
    <t>MN Crisis</t>
  </si>
  <si>
    <t>Bad Address</t>
  </si>
  <si>
    <t>St. Paul
, MN</t>
  </si>
  <si>
    <t>MN D.A.R.E (Drug Abuse Resistance Education)</t>
  </si>
  <si>
    <t>PO Box 279</t>
  </si>
  <si>
    <t>St. Bonifacius, MN</t>
  </si>
  <si>
    <t>MN Food Association</t>
  </si>
  <si>
    <t>14220 Ostlund Trail N</t>
  </si>
  <si>
    <t>Marine on the St. Croix, MN</t>
  </si>
  <si>
    <t>MN Immigrant Freedom Network</t>
  </si>
  <si>
    <t>1516 East Lake Street Suite 202</t>
  </si>
  <si>
    <t>MN Peacebuilding Leadership Institute (MPLI)</t>
  </si>
  <si>
    <t>PO Box 3717</t>
  </si>
  <si>
    <t>MN Poor People's Economic Human Rights Campaign</t>
  </si>
  <si>
    <t>P.O. Box 6316</t>
  </si>
  <si>
    <t>MN Public Interest Research Group (MPIRG)</t>
  </si>
  <si>
    <t>2722 University Ave SE</t>
  </si>
  <si>
    <t>MN Recovery Connection</t>
  </si>
  <si>
    <t>253 State Street</t>
  </si>
  <si>
    <t>MN Religious Coalition for Reproductive Choice</t>
  </si>
  <si>
    <t>122 W Franklin Ave Ste 303, P.O. Box 6966</t>
  </si>
  <si>
    <t>MN Social Justice Media Needs Assessment</t>
  </si>
  <si>
    <t>100 W. Diamond Lk Rd #207</t>
  </si>
  <si>
    <t>MN Spoken Word Association</t>
  </si>
  <si>
    <t>4749 5th St NE</t>
  </si>
  <si>
    <t>MN Telecom Watch</t>
  </si>
  <si>
    <t>1821 University Ave, Suite N-184</t>
  </si>
  <si>
    <t>MN Unitarian Universalist Social Justice Alliance (MUUSJA)</t>
  </si>
  <si>
    <t>122W Franklin Ave, Suite 303</t>
  </si>
  <si>
    <t>MN Women's Consortium</t>
  </si>
  <si>
    <t>MN350</t>
  </si>
  <si>
    <t>2104 Stevens Ave S</t>
  </si>
  <si>
    <t>Mujeres Unidas/Women United</t>
  </si>
  <si>
    <t>PO Box 1075</t>
  </si>
  <si>
    <t>2300 Myrtle St, Suite 120</t>
  </si>
  <si>
    <t>National Association of African Immigrants for Immigration</t>
  </si>
  <si>
    <t>3300 County Road 10, Ste 303</t>
  </si>
  <si>
    <t>National LGBTQ Task Force</t>
  </si>
  <si>
    <t>80 Maiden Lane, Suite 1504</t>
  </si>
  <si>
    <t>Native Vote Alliance of MN</t>
  </si>
  <si>
    <t>MCT Headquarter Bldg, PO Box 217</t>
  </si>
  <si>
    <t>Cass Lake, MN</t>
  </si>
  <si>
    <t>PO Box 217</t>
  </si>
  <si>
    <t>NAVIGATE</t>
  </si>
  <si>
    <t>2211 Riverside Avenue CB2265</t>
  </si>
  <si>
    <t>4137 Bloomington Ave</t>
  </si>
  <si>
    <t>New American Academy</t>
  </si>
  <si>
    <t>6875 Washington Ave S #103</t>
  </si>
  <si>
    <t>Edina, MN</t>
  </si>
  <si>
    <t>New American Alliance for Development (NAAD)</t>
  </si>
  <si>
    <t>1821 University Avenue, Suite 328-S</t>
  </si>
  <si>
    <t>New American Community Services</t>
  </si>
  <si>
    <t>450 Syndicate Street North, Suite 380</t>
  </si>
  <si>
    <t>Nez Perce Tribe Water Resources Division</t>
  </si>
  <si>
    <t>P.O. Box 365, 114 Veterans Drive</t>
  </si>
  <si>
    <t>Lapwai, ID</t>
  </si>
  <si>
    <t>North American Water Office</t>
  </si>
  <si>
    <t>PO Box 174</t>
  </si>
  <si>
    <t>Lake Elmo, MN</t>
  </si>
  <si>
    <t>Northcountry Cooperative Foundation</t>
  </si>
  <si>
    <t>219 Main Street SE Suite 500</t>
  </si>
  <si>
    <t>Northern Pines Mental Health Center</t>
  </si>
  <si>
    <t>Business Office, P.O. Box 367, 1906 5th Ave SE</t>
  </si>
  <si>
    <t>Little Falls, MN</t>
  </si>
  <si>
    <t>Northside Economic Opportunity Network (NEON)</t>
  </si>
  <si>
    <t>391 Banfil St</t>
  </si>
  <si>
    <t>Northside Transportation Network</t>
  </si>
  <si>
    <t>C/O West Broadway Business &amp; Area Coalition, 1011 West Broadway, Suite 202</t>
  </si>
  <si>
    <t>Northwoods Niijii Enterprise Community, Inc.</t>
  </si>
  <si>
    <t>PO Box 786</t>
  </si>
  <si>
    <t>Lac du Flambeau, WI</t>
  </si>
  <si>
    <t>Occupy Homes, MN</t>
  </si>
  <si>
    <t>911 W. Broadway Ave</t>
  </si>
  <si>
    <t>On the Commons</t>
  </si>
  <si>
    <t>2104 Stevens Ave S.</t>
  </si>
  <si>
    <t>Open Access Connections</t>
  </si>
  <si>
    <t>1821 University Ave W Ste N-184</t>
  </si>
  <si>
    <t>2525 E. Franklin Ave., Ste. 301</t>
  </si>
  <si>
    <t>Oromo Community of Minnesota</t>
  </si>
  <si>
    <t>465 Mackubin Street</t>
  </si>
  <si>
    <t>Oslo Center for Peace and Human Rights</t>
  </si>
  <si>
    <t>8148 Kentucky Ave S</t>
  </si>
  <si>
    <t>310 E. 38th St  Ste 204</t>
  </si>
  <si>
    <t>Pan Asian Artists Alliance</t>
  </si>
  <si>
    <t>3028 Oregon Ave. S</t>
  </si>
  <si>
    <t>Pangea World Theatre</t>
  </si>
  <si>
    <t>711 W Lake St Suite 101</t>
  </si>
  <si>
    <t>Parenting Oasis</t>
  </si>
  <si>
    <t>3901 Chicago</t>
  </si>
  <si>
    <t>Parents United for Public Schools</t>
  </si>
  <si>
    <t>1667 Snelling Ave N</t>
  </si>
  <si>
    <t>Park Avenue Youth &amp; Family Services</t>
  </si>
  <si>
    <t>3400 Park Avenue</t>
  </si>
  <si>
    <t>People Escaping Poverty Project (PEPP)</t>
  </si>
  <si>
    <t>116 12th St S</t>
  </si>
  <si>
    <t>1517 4th Ave S.</t>
  </si>
  <si>
    <t>Permaculture Research Institute Cold Climate</t>
  </si>
  <si>
    <t>4105 Washburn Ave. N</t>
  </si>
  <si>
    <t>Peta Wakan Tipi</t>
  </si>
  <si>
    <t>26366 Redwing Ave</t>
  </si>
  <si>
    <t>Shafer, MN</t>
  </si>
  <si>
    <t>2421 Bloomington Ave S</t>
  </si>
  <si>
    <t>125 West Broadway Avenue, Suite 130</t>
  </si>
  <si>
    <t>Ploughshares  Fund</t>
  </si>
  <si>
    <t>Fort Mason Center, Bldg. B, Suite 330</t>
  </si>
  <si>
    <t>Ponca Tribe of Oklahoma - Ponca Youth Mentorship &amp; Garden Pr</t>
  </si>
  <si>
    <t>200 White Eagle Drive</t>
  </si>
  <si>
    <t>Poor magazine</t>
  </si>
  <si>
    <t>2940 16th Street,suite 301,</t>
  </si>
  <si>
    <t>Positive Image</t>
  </si>
  <si>
    <t>6727 Noble Lane N</t>
  </si>
  <si>
    <t>Prevent Child Abuse MN</t>
  </si>
  <si>
    <t>709 University Ave W Suite 234</t>
  </si>
  <si>
    <t>Project 515</t>
  </si>
  <si>
    <t>P.O. Box 50143</t>
  </si>
  <si>
    <t>Project NAVIGATE</t>
  </si>
  <si>
    <t>Project Sweetie Pie/AfroEco</t>
  </si>
  <si>
    <t>1418 Olive Ave N</t>
  </si>
  <si>
    <t>Protect Minnesota: Working to End Gun Violence</t>
  </si>
  <si>
    <t>2395 University Ave W  Suite 201</t>
  </si>
  <si>
    <t>Public Art St. Paul</t>
  </si>
  <si>
    <t>351 Kellogg Boulevard East</t>
  </si>
  <si>
    <t>Q(C)ollaysuyu Collaboration</t>
  </si>
  <si>
    <t>C/O Peta Wakan Tipi, 1308 East Franklin Ave</t>
  </si>
  <si>
    <t>Rainbow Families</t>
  </si>
  <si>
    <t>711 W. Lake St., #210</t>
  </si>
  <si>
    <t>Rainbow Families, Midwest Office 
of Family Equality Council</t>
  </si>
  <si>
    <t>1821 W University Ave #109</t>
  </si>
  <si>
    <t>Rainbow Health Initiative</t>
  </si>
  <si>
    <t>2021 East Hennepin Ave Suite 220</t>
  </si>
  <si>
    <t>Red Cliff band of Lake Superior Chippewa - Mino Bimaadizwin</t>
  </si>
  <si>
    <t>88385 Pike Rd HWY, 13</t>
  </si>
  <si>
    <t>Bayfield, WI</t>
  </si>
  <si>
    <t>Red Lake Band of Chippewa Indians</t>
  </si>
  <si>
    <t>PO Box 588</t>
  </si>
  <si>
    <t>Red Lake, MN</t>
  </si>
  <si>
    <t>1800 Glenwood Ave North</t>
  </si>
  <si>
    <t>Rondo Community Land Trust</t>
  </si>
  <si>
    <t>626 Selby Avenue</t>
  </si>
  <si>
    <t>Safe Passage for Children</t>
  </si>
  <si>
    <t>2148 Eleanor Ave.</t>
  </si>
  <si>
    <t>Sahan Development Organization</t>
  </si>
  <si>
    <t>3145 5th Ave. S</t>
  </si>
  <si>
    <t>Saint Paul Domestic Abuse Intervention Project</t>
  </si>
  <si>
    <t>1509 Marhall Avenue</t>
  </si>
  <si>
    <t>Sibley Bike Depot</t>
  </si>
  <si>
    <t>712 University Ave.</t>
  </si>
  <si>
    <t>SisterSong Women of Color Reproductive Justice Collective</t>
  </si>
  <si>
    <t>1237 Ralph David Abernathy SW</t>
  </si>
  <si>
    <t>Somali Action Alliance</t>
  </si>
  <si>
    <t>2525 East Franklin Ave Ste 100</t>
  </si>
  <si>
    <t>Spark Youth</t>
  </si>
  <si>
    <t>4432 Chicago Avenue South</t>
  </si>
  <si>
    <t>St. Anthony Park Community Council Creative Enterprise Zone</t>
  </si>
  <si>
    <t>890 Cromwell Ave</t>
  </si>
  <si>
    <t>St. Paul Domestic Abuse Intervention Project</t>
  </si>
  <si>
    <t>1509 Marshall Ave.</t>
  </si>
  <si>
    <t>St. Paul Smart Trips</t>
  </si>
  <si>
    <t>55  5th Street East, Suite 202</t>
  </si>
  <si>
    <t>St. Stephen's Human Services</t>
  </si>
  <si>
    <t>2309 Nicollet Avenue South</t>
  </si>
  <si>
    <t>Summit-University Planning Council</t>
  </si>
  <si>
    <t>909B Selby Avenue</t>
  </si>
  <si>
    <t>Tamales y Bicicletas</t>
  </si>
  <si>
    <t>3702 East Lake St</t>
  </si>
  <si>
    <t>Taos County Economic Development Corporation (TCEDC)</t>
  </si>
  <si>
    <t>P.O. Box 1389, 1021 Salazar Road</t>
  </si>
  <si>
    <t>Taos, NM</t>
  </si>
  <si>
    <t>Teatro del Pueblo</t>
  </si>
  <si>
    <t>Baker Community Center, 209 W Page Street  Suite 208</t>
  </si>
  <si>
    <t>Techeration</t>
  </si>
  <si>
    <t>4059 Vernon Ave. S</t>
  </si>
  <si>
    <t>St. Louis Park, MN</t>
  </si>
  <si>
    <t>The Youth Legacy Foundation</t>
  </si>
  <si>
    <t>2640 Queensland Lane North</t>
  </si>
  <si>
    <t>Plymouth, MN</t>
  </si>
  <si>
    <t>To Lani Enterprises, Inc - Revitalising Local Navajo Corn Pr</t>
  </si>
  <si>
    <t xml:space="preserve">HC 61, Box 320 </t>
  </si>
  <si>
    <t>Winslow, AZ</t>
  </si>
  <si>
    <t>Trans Youth Support Network</t>
  </si>
  <si>
    <t>PO Box 7625</t>
  </si>
  <si>
    <t>Tri-College NEW Leadership Development Institute</t>
  </si>
  <si>
    <t>650 NP Avenue #110, PO Box 5630</t>
  </si>
  <si>
    <t>T'sou-ke First Nation - Wui,cist,Cen,tol</t>
  </si>
  <si>
    <t>P.O Box 307</t>
  </si>
  <si>
    <t>Sooke, BC</t>
  </si>
  <si>
    <t>Twin Cities Black Pride</t>
  </si>
  <si>
    <t>3501 Chicago Ave S.</t>
  </si>
  <si>
    <t>Twin Cities Media Alliance</t>
  </si>
  <si>
    <t>2600 E Franklin Ave, Suite #2</t>
  </si>
  <si>
    <t>United Prodigies</t>
  </si>
  <si>
    <t>1245 Carroll Ave 100 MSC</t>
  </si>
  <si>
    <t>Unity Center for Youth Leadership</t>
  </si>
  <si>
    <t>3400 Dupont Ave S</t>
  </si>
  <si>
    <t>Universal Health Care Action Network of MN</t>
  </si>
  <si>
    <t>1520 10th Ave S, #2</t>
  </si>
  <si>
    <t>Urban Embassy</t>
  </si>
  <si>
    <t>1821 University Ave. W. Suite S-137</t>
  </si>
  <si>
    <t>Urban Youth Conservation and Full Circle Community Institute</t>
  </si>
  <si>
    <t>6042 West Broadway</t>
  </si>
  <si>
    <t>Viva Musica</t>
  </si>
  <si>
    <t>P.O. Box 151</t>
  </si>
  <si>
    <t>Long Lake, MN</t>
  </si>
  <si>
    <t>Voices for Change</t>
  </si>
  <si>
    <t>8575N Trepania Rd</t>
  </si>
  <si>
    <t>WATCH</t>
  </si>
  <si>
    <t>608 2nd Ave. S.  #465 Northstar East</t>
  </si>
  <si>
    <t>WE INDIANS Program</t>
  </si>
  <si>
    <t>971 W. Windlake Ave</t>
  </si>
  <si>
    <t>Welcome Center, Inc</t>
  </si>
  <si>
    <t>308 4th Ave NW</t>
  </si>
  <si>
    <t>Austin, MN</t>
  </si>
  <si>
    <t>Wellness in the Woods</t>
  </si>
  <si>
    <t>25362  230th  Street</t>
  </si>
  <si>
    <t>Verndale, MN</t>
  </si>
  <si>
    <t>West Bank Community Development Corp.</t>
  </si>
  <si>
    <t>1808 Riverside Ave. S. #206</t>
  </si>
  <si>
    <t>West Side Citizens Organization</t>
  </si>
  <si>
    <t>127 Winifred St W</t>
  </si>
  <si>
    <t>White Earth Urban Community Council</t>
  </si>
  <si>
    <t>1308 East Franklin Ave S. #210</t>
  </si>
  <si>
    <t>The White House Project</t>
  </si>
  <si>
    <t>2402 University Ave W #600</t>
  </si>
  <si>
    <t>WI Indian Education Association</t>
  </si>
  <si>
    <t>231 Steeple Road</t>
  </si>
  <si>
    <t>Mosinee, WI</t>
  </si>
  <si>
    <t>WI Tribal Judges Association</t>
  </si>
  <si>
    <t>PO Box 19</t>
  </si>
  <si>
    <t>Oneida, WI</t>
  </si>
  <si>
    <t>WI Tribal Language Consortium</t>
  </si>
  <si>
    <t>UWSP Native American Center, 206 Student Services</t>
  </si>
  <si>
    <t>Stevens Point, WI</t>
  </si>
  <si>
    <t>Climate Generation: A Will Steger Legacy</t>
  </si>
  <si>
    <t>2801 21st Ave. S. Suite 110</t>
  </si>
  <si>
    <t>Women of Nations</t>
  </si>
  <si>
    <t>73 S Leech St.</t>
  </si>
  <si>
    <t>Women's Economic Agenda Project</t>
  </si>
  <si>
    <t>449-15th Street 2nd floor</t>
  </si>
  <si>
    <t>Women's Environmental Institute</t>
  </si>
  <si>
    <t>PO Box 128</t>
  </si>
  <si>
    <t>North Branch, MN</t>
  </si>
  <si>
    <t>The Work Space</t>
  </si>
  <si>
    <t>2588 Rice Street</t>
  </si>
  <si>
    <t>World Without Genocide</t>
  </si>
  <si>
    <t>Xiong United National, Inc</t>
  </si>
  <si>
    <t>1299 Arcade St</t>
  </si>
  <si>
    <t>YMCA of the Greater Twin Cities</t>
  </si>
  <si>
    <t>8950 Springbrook Drive</t>
  </si>
  <si>
    <t>Coon Rapids, MN</t>
  </si>
  <si>
    <t>Young Women United</t>
  </si>
  <si>
    <t>PO Box 8490</t>
  </si>
  <si>
    <t>Youth Advocating Change</t>
  </si>
  <si>
    <t>601 Annapolis Street E</t>
  </si>
  <si>
    <t>Youth Resistance Project</t>
  </si>
  <si>
    <t>3024 Chicago Ave. Unit 1</t>
  </si>
  <si>
    <t>Zomba Catholic Secondary School</t>
  </si>
  <si>
    <t>PO Box 2</t>
  </si>
  <si>
    <t>Zomba</t>
  </si>
  <si>
    <t>Little Earth Residents Association</t>
  </si>
  <si>
    <t>Drive Change</t>
  </si>
  <si>
    <t>120 East 81st Street</t>
  </si>
  <si>
    <t>Advocates for the Protection of Sacred Sites (APOSS)</t>
  </si>
  <si>
    <t>PO Box 907</t>
  </si>
  <si>
    <t>Beli Vista, CA</t>
  </si>
  <si>
    <t>Wicoie Nandagikendan</t>
  </si>
  <si>
    <t>1308 E. Franklin Avenue, Suite 126</t>
  </si>
  <si>
    <t>American Indian Center- St. Cloud</t>
  </si>
  <si>
    <t>720 Fourth Ave S.</t>
  </si>
  <si>
    <t>American Rivers</t>
  </si>
  <si>
    <t>1101 14th Street NW, suite 1400</t>
  </si>
  <si>
    <t>Anishinaabe O'de</t>
  </si>
  <si>
    <t>704 Ishpeming RD</t>
  </si>
  <si>
    <t>Black Mesa Water Coalition</t>
  </si>
  <si>
    <t>Flagstaff, AZ</t>
  </si>
  <si>
    <t>Center for Popular Democracy</t>
  </si>
  <si>
    <t>449 Troutman Street, Suite A</t>
  </si>
  <si>
    <t>Chalkyitsik Village Council</t>
  </si>
  <si>
    <t>PO Box 57</t>
  </si>
  <si>
    <t>Chalkyitsik, AK</t>
  </si>
  <si>
    <t>Conservation Minnesota</t>
  </si>
  <si>
    <t>1101 West River Parkway Suite 250</t>
  </si>
  <si>
    <t>Dakota Resource Council</t>
  </si>
  <si>
    <t>1200 Missouri Ave St 102 P.O. Box 1095</t>
  </si>
  <si>
    <t>Dine Bidzill- Southwest Indian Uranium Forum</t>
  </si>
  <si>
    <t>Four Bridges Traveling Permaculture Institute</t>
  </si>
  <si>
    <t>PO Box 787</t>
  </si>
  <si>
    <t>Santa Cruz, NM</t>
  </si>
  <si>
    <t>Growing Power</t>
  </si>
  <si>
    <t>5500 W Silver Spring Drive</t>
  </si>
  <si>
    <t>Hope Community</t>
  </si>
  <si>
    <t>611 E. Franklin Ave.</t>
  </si>
  <si>
    <t>Idle No More Campaign of the Polaris Institute</t>
  </si>
  <si>
    <t>675 61st Street</t>
  </si>
  <si>
    <t>Lakota Immersion Childcare</t>
  </si>
  <si>
    <t>PO Box 3010</t>
  </si>
  <si>
    <t>Lakota Solar Enterprises</t>
  </si>
  <si>
    <t>PO Box 1609</t>
  </si>
  <si>
    <t>Lakota Waldorf School</t>
  </si>
  <si>
    <t>PO Box 527, Three Mile Creek Road</t>
  </si>
  <si>
    <t>Kyle, SD</t>
  </si>
  <si>
    <t>Local Fair Trade Network</t>
  </si>
  <si>
    <t>2105 First Ave S</t>
  </si>
  <si>
    <t>Lyndale Neighborhood Association</t>
  </si>
  <si>
    <t>3537 Nicollet Ave. S.</t>
  </si>
  <si>
    <t>McDonough Org. with Respect and Equality (MORE)</t>
  </si>
  <si>
    <t>96 E. Wheelock Parkway</t>
  </si>
  <si>
    <t>Yellowbird</t>
  </si>
  <si>
    <t>PO Box 1138</t>
  </si>
  <si>
    <t>Lamedeer, MT</t>
  </si>
  <si>
    <t>Native Youth Leadership Alliance</t>
  </si>
  <si>
    <t>PO Box 241</t>
  </si>
  <si>
    <t>Owe Aku</t>
  </si>
  <si>
    <t>720 West 173rd Street #59</t>
  </si>
  <si>
    <t>Planned Parenthood of Minnesota/South Dakota</t>
  </si>
  <si>
    <t>1200 Lagoon Ave</t>
  </si>
  <si>
    <t>Punky Lake Wilderness Camp</t>
  </si>
  <si>
    <t>253 4th Ave N.</t>
  </si>
  <si>
    <t>Williams Lake, BC</t>
  </si>
  <si>
    <t>Rainforest Action Network</t>
  </si>
  <si>
    <t>425 Bush Street Suite 300</t>
  </si>
  <si>
    <t>Rio Grande Community Development Corporation</t>
  </si>
  <si>
    <t>1504 Bridge SW</t>
  </si>
  <si>
    <t>Secwepemc Nation Youth Network</t>
  </si>
  <si>
    <t>690 Ska-HirschDrive</t>
  </si>
  <si>
    <t>Chase, BC</t>
  </si>
  <si>
    <t>Seventh Native American Generation  (SNAG)</t>
  </si>
  <si>
    <t>PO Box 40597</t>
  </si>
  <si>
    <t>Shonto Community Development Corporation</t>
  </si>
  <si>
    <t>PO Box 7701</t>
  </si>
  <si>
    <t>Shonto, AZ</t>
  </si>
  <si>
    <t>Sustainable Nations</t>
  </si>
  <si>
    <t>PO Box 3745</t>
  </si>
  <si>
    <t>Tatanka Wakpala Tiyospaye</t>
  </si>
  <si>
    <t>HCR 3, Box 89</t>
  </si>
  <si>
    <t>Gettysburg, SD</t>
  </si>
  <si>
    <t>Traditional Native American Farmers Association</t>
  </si>
  <si>
    <t>PO Box 31267</t>
  </si>
  <si>
    <t>Santa Fe, NM</t>
  </si>
  <si>
    <t>Unify University</t>
  </si>
  <si>
    <t>C/O AEDA 379 University Ave Suite 213</t>
  </si>
  <si>
    <t>United Houma Nation Community Gardening and Traditional Plan</t>
  </si>
  <si>
    <t>20986 HWY. 1</t>
  </si>
  <si>
    <t>Golden Meadow, LA</t>
  </si>
  <si>
    <t>Yellowknives Dene First Nation</t>
  </si>
  <si>
    <t>Chief Drygreese Government Building, P.O. Box 2514</t>
  </si>
  <si>
    <t>Yellowknife, NT</t>
  </si>
  <si>
    <t>Youth Frontiers, Inc.</t>
  </si>
  <si>
    <t>6009 Excelsior Boulevard</t>
  </si>
  <si>
    <t>Appalachian Sustainable Agriculture Project (ASAP)</t>
  </si>
  <si>
    <t>306 West Haywood Street</t>
  </si>
  <si>
    <t>Asheville, NC</t>
  </si>
  <si>
    <t>Brady Campaign To Prevent Gun Violence</t>
  </si>
  <si>
    <t>1225 Eye Street NW  Suite 1100</t>
  </si>
  <si>
    <t>Center for Victims of Torture</t>
  </si>
  <si>
    <t>717 E  River Rd</t>
  </si>
  <si>
    <t>Chinati Ixtlan Cultural and Land Conservancy</t>
  </si>
  <si>
    <t>28175 Countryside Drive</t>
  </si>
  <si>
    <t>Braunfels, TX</t>
  </si>
  <si>
    <t>Coalition of Liberians on Deferred Enforced Departure</t>
  </si>
  <si>
    <t>Democracy Unlimited</t>
  </si>
  <si>
    <t>PO Box 610</t>
  </si>
  <si>
    <t>Des Moines African American Leadership Forum</t>
  </si>
  <si>
    <t>The Directors Council, 101 Locust Street</t>
  </si>
  <si>
    <t>Des Moines, IA</t>
  </si>
  <si>
    <t>Earth Island Institute</t>
  </si>
  <si>
    <t>300 Broadway, #28</t>
  </si>
  <si>
    <t>Empowerment Network</t>
  </si>
  <si>
    <t>2221 N. 24th Street</t>
  </si>
  <si>
    <t>Omaha, NE</t>
  </si>
  <si>
    <t>Friends for a Non-Violent World</t>
  </si>
  <si>
    <t>1050 Selby Ave</t>
  </si>
  <si>
    <t>Full Circle Community Institute</t>
  </si>
  <si>
    <t>5878 State Road 70</t>
  </si>
  <si>
    <t>Webster, WI</t>
  </si>
  <si>
    <t>Gamaliel Foundation</t>
  </si>
  <si>
    <t>221 North LaSalle Suite 1320</t>
  </si>
  <si>
    <t>Global Volunteers</t>
  </si>
  <si>
    <t>375 Little Canada Rd. E.</t>
  </si>
  <si>
    <t>Harlem Children's Zone</t>
  </si>
  <si>
    <t>35 E 125th Street</t>
  </si>
  <si>
    <t>Highlander Center</t>
  </si>
  <si>
    <t>1959 Highlander Way</t>
  </si>
  <si>
    <t>New Market, TN</t>
  </si>
  <si>
    <t>Isle de Jean Charles Band</t>
  </si>
  <si>
    <t>100 Dennis Street</t>
  </si>
  <si>
    <t>Montegut, LA</t>
  </si>
  <si>
    <t>Ka malo'o Ehunuikaimalino</t>
  </si>
  <si>
    <t>81-1041 Konawaena School Road</t>
  </si>
  <si>
    <t>Kealakekua, HI</t>
  </si>
  <si>
    <t>Keepers of the Waters</t>
  </si>
  <si>
    <t>330 7th Street</t>
  </si>
  <si>
    <t>Manistee, MI</t>
  </si>
  <si>
    <t>Lambi Fund of Haiti</t>
  </si>
  <si>
    <t>PO Box 18955</t>
  </si>
  <si>
    <t>Laura Jeffrey Academy</t>
  </si>
  <si>
    <t>1550 Summit Ave</t>
  </si>
  <si>
    <t>League of Young Voters</t>
  </si>
  <si>
    <t>310 Atlantic Ave, Apt 2</t>
  </si>
  <si>
    <t>The Task Force</t>
  </si>
  <si>
    <t>1325 Massachusetts Ave NW Suite 600</t>
  </si>
  <si>
    <t>National People's Action</t>
  </si>
  <si>
    <t>Nepikan: Save Our Serpent</t>
  </si>
  <si>
    <t>1832 Mound Rd.</t>
  </si>
  <si>
    <t>Piketon, OH</t>
  </si>
  <si>
    <t>New Foundations, Inc.</t>
  </si>
  <si>
    <t>1145 Westminster St.</t>
  </si>
  <si>
    <t>Nuestras Raices</t>
  </si>
  <si>
    <t>329 Main Street</t>
  </si>
  <si>
    <t>Holyoke, MA</t>
  </si>
  <si>
    <t>Oxfam America</t>
  </si>
  <si>
    <t>226 Causeway Street, 5th Floor</t>
  </si>
  <si>
    <t>Boston, MA</t>
  </si>
  <si>
    <t>Portland African American Leadership Forum</t>
  </si>
  <si>
    <t>Self Enhancement Inc., 3920 North Kerby Ave</t>
  </si>
  <si>
    <t>Portland, OR</t>
  </si>
  <si>
    <t>Project for Pride in Living</t>
  </si>
  <si>
    <t>1035 East Franklin Ave.</t>
  </si>
  <si>
    <t>Rachael's Women's Center</t>
  </si>
  <si>
    <t>1222 11th Street NW</t>
  </si>
  <si>
    <t>RAVEN-Beaver Lake First Nation</t>
  </si>
  <si>
    <t>844 Courtney Street (Second Floor)</t>
  </si>
  <si>
    <t>Victoria, BC</t>
  </si>
  <si>
    <t>Seattle African American Leadership Forum</t>
  </si>
  <si>
    <t>Centerstone, 722 18th Ave</t>
  </si>
  <si>
    <t>Seattle Young People's Project</t>
  </si>
  <si>
    <t>510B Maryland Ave S</t>
  </si>
  <si>
    <t>995 University Ave. W #215</t>
  </si>
  <si>
    <t>Southern Coalition for Social Justice</t>
  </si>
  <si>
    <t>1415 W Highway 54 Suite 101</t>
  </si>
  <si>
    <t>Tacoma African American Leadership Forum</t>
  </si>
  <si>
    <t>Tacoma Urban League, 2550 South Yakima Ave</t>
  </si>
  <si>
    <t>Tacoma, WA</t>
  </si>
  <si>
    <t>Training for Change</t>
  </si>
  <si>
    <t>1081 Laurel Ave</t>
  </si>
  <si>
    <t>Wayside House</t>
  </si>
  <si>
    <t>3705 Park Center Boulevard</t>
  </si>
  <si>
    <t>Wellstone Action Fund</t>
  </si>
  <si>
    <t>2446 University Ave W Suite 170</t>
  </si>
  <si>
    <t>Youth Farm and Market Project</t>
  </si>
  <si>
    <t>128 West 33rd Street</t>
  </si>
  <si>
    <t>Allied Media Project Inc.</t>
  </si>
  <si>
    <t>PO Box 442339</t>
  </si>
  <si>
    <t>Detroit, MI</t>
  </si>
  <si>
    <t>Avaaz Foundation</t>
  </si>
  <si>
    <t>857 Broadway, 3rd Floor</t>
  </si>
  <si>
    <t>Common Cause</t>
  </si>
  <si>
    <t>1133 19th Street NW 9th Floor</t>
  </si>
  <si>
    <t>First Congregational United Church of Christ</t>
  </si>
  <si>
    <t>945 G Street NW</t>
  </si>
  <si>
    <t>Leadership Center for the Common Good</t>
  </si>
  <si>
    <t>11 Dupont Circle Suite 240</t>
  </si>
  <si>
    <t>Literacy Council of Prince Georges County</t>
  </si>
  <si>
    <t>6532 Adelphi Rd. Suite 101</t>
  </si>
  <si>
    <t>Hyattsville, ND</t>
  </si>
  <si>
    <t>Medical Students for Choice</t>
  </si>
  <si>
    <t>PO Box 40188</t>
  </si>
  <si>
    <t>MN Immigrant Rights Action Communities</t>
  </si>
  <si>
    <t>4200 Cedar Ave S Ste A</t>
  </si>
  <si>
    <t>Native Youth Alliance of MN (NYAM)</t>
  </si>
  <si>
    <t>322 Laurel Street Suite 21</t>
  </si>
  <si>
    <t>Brainerd, MN</t>
  </si>
  <si>
    <t>Natural Resources Defense Council</t>
  </si>
  <si>
    <t>1152 15th Street NW Suite 300</t>
  </si>
  <si>
    <t>Wilderness Society</t>
  </si>
  <si>
    <t>1615 M Street NW</t>
  </si>
  <si>
    <t>Washington Street, DC</t>
  </si>
  <si>
    <t>702 3rd Ave S</t>
  </si>
  <si>
    <t>Moon Daughters</t>
  </si>
  <si>
    <t>28890 Connection Drive SE</t>
  </si>
  <si>
    <t>Pennington, MN</t>
  </si>
  <si>
    <t>First Nations Repatriation Institute</t>
  </si>
  <si>
    <t>754 16th Ave N</t>
  </si>
  <si>
    <t>South St. Paul, MN</t>
  </si>
  <si>
    <t>Prospect Park 2020, Inc.</t>
  </si>
  <si>
    <t>2950 University Avenue SE</t>
  </si>
  <si>
    <t>Ka Joog Nonprofit Organization</t>
  </si>
  <si>
    <t>1420 Washington Avenue South, #3</t>
  </si>
  <si>
    <t>The Aliveness Project</t>
  </si>
  <si>
    <t>3808 Nicollet Avenue</t>
  </si>
  <si>
    <t>Zenteotl Project</t>
  </si>
  <si>
    <t>P.O. Box 111033</t>
  </si>
  <si>
    <t>The Central Minnesota Sustainability Project</t>
  </si>
  <si>
    <t>101 7th Avenue South, Suite #208</t>
  </si>
  <si>
    <t>205 W. 2nd St, Ste 15</t>
  </si>
  <si>
    <t>Hispanic Advocacy and Community Empowerment Through Research</t>
  </si>
  <si>
    <t>2413 University Ave W, Suite 12</t>
  </si>
  <si>
    <t>Minnesota Health Equity Working Committee</t>
  </si>
  <si>
    <t>C/O Joo Hee Pomplum 1211 Washington St NE</t>
  </si>
  <si>
    <t>I-ImpactNow (D.B.A. Aynah)</t>
  </si>
  <si>
    <t>P.O. Box 6397</t>
  </si>
  <si>
    <t>East Side Freedom Library</t>
  </si>
  <si>
    <t>835 6th St E</t>
  </si>
  <si>
    <t>Mino Miikana Cultural and Wellness Center</t>
  </si>
  <si>
    <t>32 Cato Avenue</t>
  </si>
  <si>
    <t>Seward Neighborhood Group</t>
  </si>
  <si>
    <t>2323 E Franklin Ave</t>
  </si>
  <si>
    <t>Neighborhood Development Alliance</t>
  </si>
  <si>
    <t>Wabasha Center 481 S Wabasha St.</t>
  </si>
  <si>
    <t>Community Action Duluth</t>
  </si>
  <si>
    <t>2424 W 5th Street Ste 102</t>
  </si>
  <si>
    <t>501 N Dale St, Ste 203</t>
  </si>
  <si>
    <t>Casa de Esperanza</t>
  </si>
  <si>
    <t>PO Box 40115</t>
  </si>
  <si>
    <t>Green Card Voices</t>
  </si>
  <si>
    <t>Minnesotans for a Fair Economy</t>
  </si>
  <si>
    <t>706 N 1st St, Suite 110</t>
  </si>
  <si>
    <t>Montessori American Indian Childcare Center</t>
  </si>
  <si>
    <t>1909 Ivy Avenue East</t>
  </si>
  <si>
    <t>Guadalupe Alternative Programs</t>
  </si>
  <si>
    <t>381 East Robie Street</t>
  </si>
  <si>
    <t>Children First</t>
  </si>
  <si>
    <t>6425 W 33rd Street</t>
  </si>
  <si>
    <t>Our Saviour's Community Services</t>
  </si>
  <si>
    <t>2315 Chicago Ave. So.</t>
  </si>
  <si>
    <t>Lutheran Social Service of Minnesota</t>
  </si>
  <si>
    <t>2485 Como Ave</t>
  </si>
  <si>
    <t>The Yes Network</t>
  </si>
  <si>
    <t>1030 4th Street SE P.O. Box 1042</t>
  </si>
  <si>
    <t>Depot Studios</t>
  </si>
  <si>
    <t>205 Main St. W</t>
  </si>
  <si>
    <t>Isle, MN</t>
  </si>
  <si>
    <t>Guardian Care &amp; Consulting</t>
  </si>
  <si>
    <t>7037 Amy Lane</t>
  </si>
  <si>
    <t>Montevideo, MN</t>
  </si>
  <si>
    <t>Gary Cares</t>
  </si>
  <si>
    <t>301 Strand St</t>
  </si>
  <si>
    <t>Gary, MN</t>
  </si>
  <si>
    <t>Khmer Culture Center of Minnesota Inc.</t>
  </si>
  <si>
    <t>9490 Flanders Street</t>
  </si>
  <si>
    <t>Blaine, MN</t>
  </si>
  <si>
    <t>University of Minnesota</t>
  </si>
  <si>
    <t>111 South Broadway, 300 University Square</t>
  </si>
  <si>
    <t>Friends of the Earth</t>
  </si>
  <si>
    <t>1100 15th Street NW 11th Floor</t>
  </si>
  <si>
    <t>Mission Blue</t>
  </si>
  <si>
    <t>100 Pine Street, Ste 1550</t>
  </si>
  <si>
    <t>Sunflower Community Action</t>
  </si>
  <si>
    <t>1751 North Ash</t>
  </si>
  <si>
    <t>Wichita, KS</t>
  </si>
  <si>
    <t>Texas Criminal Justice Coalition</t>
  </si>
  <si>
    <t>1714 Fortview Road, Ste 104</t>
  </si>
  <si>
    <t>Austin, TX</t>
  </si>
  <si>
    <t>Pono Kaulike</t>
  </si>
  <si>
    <t>PO Box 4964</t>
  </si>
  <si>
    <t>Inter-Tribal Maple Syrup Producers Cooperative</t>
  </si>
  <si>
    <t>Unistoten Sovereignty Camp</t>
  </si>
  <si>
    <t>701 6th Ave N</t>
  </si>
  <si>
    <t>Saskatoon, SK</t>
  </si>
  <si>
    <t>Southwest Uranium Working Group</t>
  </si>
  <si>
    <t>20 A Bartolo Baca Road</t>
  </si>
  <si>
    <t>Tijeras, NM</t>
  </si>
  <si>
    <t>St. Cloud State University Foundation for the Karen Culture</t>
  </si>
  <si>
    <t>720 4th Ave S</t>
  </si>
  <si>
    <t>Hmong Center of Green Bay</t>
  </si>
  <si>
    <t>401 9th Street</t>
  </si>
  <si>
    <t>Green Bay, WI</t>
  </si>
  <si>
    <t>St. Paul Public Schools</t>
  </si>
  <si>
    <t>345 Plato Blvd, Suite 625</t>
  </si>
  <si>
    <t>Pointe-Au-Chien Indian Tribe</t>
  </si>
  <si>
    <t>PO Box 416</t>
  </si>
  <si>
    <t>Institute for Democratic Education in America IDEA Minnesota</t>
  </si>
  <si>
    <t>620 SW 5th Ave, Suite 910</t>
  </si>
  <si>
    <t>Andrea Jenkins</t>
  </si>
  <si>
    <t>3940 Park Avenue South</t>
  </si>
  <si>
    <t>Liz Loeb</t>
  </si>
  <si>
    <t>156 14th Ave ne</t>
  </si>
  <si>
    <t>416 East Hennepin Ave, Minneapolis, MN</t>
  </si>
  <si>
    <t>3963 8th Street SW, Backus, MN</t>
  </si>
  <si>
    <t>1930 Glenwood Avenue, Minneapolis, MN</t>
  </si>
  <si>
    <t>3501 Chicago Avenue S, Minneapolis, MN</t>
  </si>
  <si>
    <t>2525 E. Franklin Ave., Ste. 301, Minneapolis, MN</t>
  </si>
  <si>
    <t>303 Railroad Street SW, Bemidji, MN</t>
  </si>
  <si>
    <t>Key</t>
  </si>
  <si>
    <t>changed manually because the database didn't have useful information</t>
  </si>
  <si>
    <t>72 10TH AVE S, Waite Park, Minnesota</t>
  </si>
  <si>
    <t>607 Main St P.O. Box 25, Callaway, Minnesota</t>
  </si>
  <si>
    <t>4200 Cedar Ave S #4, Minneapolis MN 55407</t>
  </si>
  <si>
    <t>Grant(s)</t>
  </si>
  <si>
    <t>Participant First Name</t>
  </si>
  <si>
    <t>Participant Last Name</t>
  </si>
  <si>
    <t>E-mail Number</t>
  </si>
  <si>
    <t>Fowzia</t>
  </si>
  <si>
    <t>Adde</t>
  </si>
  <si>
    <t>fowzia@idcfm.org</t>
  </si>
  <si>
    <t>Brooke</t>
  </si>
  <si>
    <t>Ammann</t>
  </si>
  <si>
    <t>brooke.ammann@lcoosk12.org</t>
  </si>
  <si>
    <t>Roxanne</t>
  </si>
  <si>
    <t>Anderson</t>
  </si>
  <si>
    <t>roxanne.anderson2009@gmail.com</t>
  </si>
  <si>
    <t>Dave</t>
  </si>
  <si>
    <t>dave@allparksallianceforchange.org</t>
  </si>
  <si>
    <t>Williams</t>
  </si>
  <si>
    <t>Arizmendi</t>
  </si>
  <si>
    <t>will2ortiz@gmail.com</t>
  </si>
  <si>
    <t>Erica</t>
  </si>
  <si>
    <t>Bjelland</t>
  </si>
  <si>
    <t>erica@rreal.org</t>
  </si>
  <si>
    <t>erica.bjelland@gmail.com</t>
  </si>
  <si>
    <t>Monica</t>
  </si>
  <si>
    <t>Bravo</t>
  </si>
  <si>
    <t>monica@wsco.org</t>
  </si>
  <si>
    <t>John</t>
  </si>
  <si>
    <t>Bueche</t>
  </si>
  <si>
    <t>bueche@redeemermpls.org</t>
  </si>
  <si>
    <t>Denise</t>
  </si>
  <si>
    <t>Butler</t>
  </si>
  <si>
    <t>dbutler@gmail.com</t>
  </si>
  <si>
    <t>Luis</t>
  </si>
  <si>
    <t>Caguana</t>
  </si>
  <si>
    <t>roberto@inquilinxsunidxs.org</t>
  </si>
  <si>
    <t>Kelly</t>
  </si>
  <si>
    <t>Chatman</t>
  </si>
  <si>
    <t>pastor@redeemermpls.org</t>
  </si>
  <si>
    <t>Jilian</t>
  </si>
  <si>
    <t>Clearman</t>
  </si>
  <si>
    <t>jilian@ctul.net</t>
  </si>
  <si>
    <t>Cara</t>
  </si>
  <si>
    <t>Deanes</t>
  </si>
  <si>
    <t>supportgiatoday@gmail.com</t>
  </si>
  <si>
    <t>Caroline</t>
  </si>
  <si>
    <t>Devany</t>
  </si>
  <si>
    <t>stonesthrowurbanfarm@gmail.com</t>
  </si>
  <si>
    <t>Damon</t>
  </si>
  <si>
    <t>Drake</t>
  </si>
  <si>
    <t>ddrake@caprw.org</t>
  </si>
  <si>
    <t>Kevin</t>
  </si>
  <si>
    <t>Edberg</t>
  </si>
  <si>
    <t>kedberg@cdsus.coop</t>
  </si>
  <si>
    <t>Emily</t>
  </si>
  <si>
    <t>Eddy White</t>
  </si>
  <si>
    <t>eeddy@thefoodgroupmn.org</t>
  </si>
  <si>
    <t>Jessica Belt</t>
  </si>
  <si>
    <t>ElDahr</t>
  </si>
  <si>
    <t>jessy@reconciliationproject.org</t>
  </si>
  <si>
    <t>Goldberg</t>
  </si>
  <si>
    <t>mlegold@aol.com</t>
  </si>
  <si>
    <t>Sean</t>
  </si>
  <si>
    <t>Gosiewski</t>
  </si>
  <si>
    <t>sean@afors.org</t>
  </si>
  <si>
    <t>Collie</t>
  </si>
  <si>
    <t>Graddick</t>
  </si>
  <si>
    <t>collie@communitytable.coop</t>
  </si>
  <si>
    <t>Brett</t>
  </si>
  <si>
    <t>Grant</t>
  </si>
  <si>
    <t>grant@voicesforracialjustice.org</t>
  </si>
  <si>
    <t>Julie</t>
  </si>
  <si>
    <t>Guidry</t>
  </si>
  <si>
    <t>julie@upstreamarts.org</t>
  </si>
  <si>
    <t>Gladys</t>
  </si>
  <si>
    <t>Gutierrez</t>
  </si>
  <si>
    <t>GKGUTIERREZANAYA@CSBSJU.EDU</t>
  </si>
  <si>
    <t>Janssen</t>
  </si>
  <si>
    <t>Hang</t>
  </si>
  <si>
    <t>janssen@hmongfarmers.com</t>
  </si>
  <si>
    <t>Allie</t>
  </si>
  <si>
    <t>Harris</t>
  </si>
  <si>
    <t>allie@reconciliationproject.org</t>
  </si>
  <si>
    <t>Bahieh</t>
  </si>
  <si>
    <t>Hartshorn</t>
  </si>
  <si>
    <t>Bahieh@wsco.org</t>
  </si>
  <si>
    <t>Andrea</t>
  </si>
  <si>
    <t>Huber</t>
  </si>
  <si>
    <t>andrea@jordanmpls.org</t>
  </si>
  <si>
    <t>Jaylani</t>
  </si>
  <si>
    <t>Hussein</t>
  </si>
  <si>
    <t>jhussein@cair.com</t>
  </si>
  <si>
    <t>Fardousa</t>
  </si>
  <si>
    <t>Jama</t>
  </si>
  <si>
    <t>fardousa44@gmail.com</t>
  </si>
  <si>
    <t>Jenkins</t>
  </si>
  <si>
    <t>shesgotgame1@gmail.com</t>
  </si>
  <si>
    <t>Dylan</t>
  </si>
  <si>
    <t>Jubera</t>
  </si>
  <si>
    <t>djubera@dakotawicohan.org</t>
  </si>
  <si>
    <t>Anna</t>
  </si>
  <si>
    <t>Kaiser</t>
  </si>
  <si>
    <t>anna_kaiser@aifc.net</t>
  </si>
  <si>
    <t>Koch</t>
  </si>
  <si>
    <t>juliek@watercoursecounseling.org</t>
  </si>
  <si>
    <t>Jayce</t>
  </si>
  <si>
    <t>Koester</t>
  </si>
  <si>
    <t>jayce@jewishcommunityaction.org</t>
  </si>
  <si>
    <t>Mat</t>
  </si>
  <si>
    <t>Krisetya</t>
  </si>
  <si>
    <t>mat@hmongfarmers.com</t>
  </si>
  <si>
    <t>Laura</t>
  </si>
  <si>
    <t>LaBlanc</t>
  </si>
  <si>
    <t>laura@oyatehotanin.org</t>
  </si>
  <si>
    <t>Lattu</t>
  </si>
  <si>
    <t>Jewelly</t>
  </si>
  <si>
    <t>Lee</t>
  </si>
  <si>
    <t>jewellylee@gmail.com</t>
  </si>
  <si>
    <t>Darryl</t>
  </si>
  <si>
    <t>Lindsey</t>
  </si>
  <si>
    <t>darryl@afcmn.org</t>
  </si>
  <si>
    <t>Liz</t>
  </si>
  <si>
    <t>Loeb</t>
  </si>
  <si>
    <t>elizabeth.loeb@gmail.com</t>
  </si>
  <si>
    <t>Liz@kaleo.center</t>
  </si>
  <si>
    <t>Paula</t>
  </si>
  <si>
    <t>Maccabee</t>
  </si>
  <si>
    <t>paula@waterlegacy.org</t>
  </si>
  <si>
    <t>Charlotte</t>
  </si>
  <si>
    <t>Mertz</t>
  </si>
  <si>
    <t>charlotte_mertz@aifc.net</t>
  </si>
  <si>
    <t>abdirizak</t>
  </si>
  <si>
    <t>Mohamed</t>
  </si>
  <si>
    <t>abdirizak2625@gmail.com</t>
  </si>
  <si>
    <t>Asma</t>
  </si>
  <si>
    <t>Mohammed</t>
  </si>
  <si>
    <t>asma@revivingsisterhood.org</t>
  </si>
  <si>
    <t>Carin</t>
  </si>
  <si>
    <t>Mrotz</t>
  </si>
  <si>
    <t>carin@jewishcommunityaction.org</t>
  </si>
  <si>
    <t>Nelima</t>
  </si>
  <si>
    <t>Munene</t>
  </si>
  <si>
    <t>nelima@acerinc.org</t>
  </si>
  <si>
    <t>Unny</t>
  </si>
  <si>
    <t>Nambudiripad</t>
  </si>
  <si>
    <t>unny@ctul.net</t>
  </si>
  <si>
    <t>Tie</t>
  </si>
  <si>
    <t>Oei</t>
  </si>
  <si>
    <t>tie.oei@amamedia.org</t>
  </si>
  <si>
    <t>Joann</t>
  </si>
  <si>
    <t>Osgood</t>
  </si>
  <si>
    <t>joann@jordanmpls.org</t>
  </si>
  <si>
    <t>Lola</t>
  </si>
  <si>
    <t>Osunkoya</t>
  </si>
  <si>
    <t>neitherbothllc@gmail.com</t>
  </si>
  <si>
    <t>Alissa</t>
  </si>
  <si>
    <t>Paris</t>
  </si>
  <si>
    <t>alissaparis@gmail.com</t>
  </si>
  <si>
    <t>Joy</t>
  </si>
  <si>
    <t>Persall</t>
  </si>
  <si>
    <t>joy@dreamofwildhealth.org</t>
  </si>
  <si>
    <t>Zeam</t>
  </si>
  <si>
    <t>Porter</t>
  </si>
  <si>
    <t>mntransdirector@gmail.com</t>
  </si>
  <si>
    <t>Sky</t>
  </si>
  <si>
    <t>Purdin</t>
  </si>
  <si>
    <t>sky@idcfm.org</t>
  </si>
  <si>
    <t>Lucy</t>
  </si>
  <si>
    <t>Richardson</t>
  </si>
  <si>
    <t>lucy@hispanicoutreach.org</t>
  </si>
  <si>
    <t>Caty</t>
  </si>
  <si>
    <t>Royce</t>
  </si>
  <si>
    <t>caty@frogtownmn.org</t>
  </si>
  <si>
    <t>Bree</t>
  </si>
  <si>
    <t>Sieplinga</t>
  </si>
  <si>
    <t>bree@upstreamarts.org</t>
  </si>
  <si>
    <t>cathy</t>
  </si>
  <si>
    <t>spann</t>
  </si>
  <si>
    <t>cathy@jordanmpls.org</t>
  </si>
  <si>
    <t>Doris</t>
  </si>
  <si>
    <t>Stands</t>
  </si>
  <si>
    <t>dstands@dakotawicohan.org</t>
  </si>
  <si>
    <t>Chelsea</t>
  </si>
  <si>
    <t>Stanton</t>
  </si>
  <si>
    <t>chelsea@kaleo.center</t>
  </si>
  <si>
    <t>Felicia</t>
  </si>
  <si>
    <t>Sy</t>
  </si>
  <si>
    <t>felicia@reclaim.care</t>
  </si>
  <si>
    <t>Thao</t>
  </si>
  <si>
    <t>Shinaah</t>
  </si>
  <si>
    <t>shinaah.thao@gmail.com</t>
  </si>
  <si>
    <t>Vang</t>
  </si>
  <si>
    <t>Chong</t>
  </si>
  <si>
    <t>chong@aaopmn.org</t>
  </si>
  <si>
    <t>Peter</t>
  </si>
  <si>
    <t>Vaughn</t>
  </si>
  <si>
    <t>jvaughn@esndc.org</t>
  </si>
  <si>
    <t>abdulahi</t>
  </si>
  <si>
    <t>Warsame</t>
  </si>
  <si>
    <t>abdulahixudeyfa@gmail.com</t>
  </si>
  <si>
    <t>Fartun</t>
  </si>
  <si>
    <t>Weli</t>
  </si>
  <si>
    <t>fartun.weli@isuroon.org</t>
  </si>
  <si>
    <t>Jacqueline</t>
  </si>
  <si>
    <t>White</t>
  </si>
  <si>
    <t>jw@jacquelinewhite.net</t>
  </si>
  <si>
    <t>Tia</t>
  </si>
  <si>
    <t>tia@frogtownmn.org</t>
  </si>
  <si>
    <t>Samty</t>
  </si>
  <si>
    <t>Xiong</t>
  </si>
  <si>
    <t>sxiong@thefoodgroupmn.org</t>
  </si>
  <si>
    <t>Mario</t>
  </si>
  <si>
    <t>Zarate</t>
  </si>
  <si>
    <t>mario@inquilinxsunidxs.org</t>
  </si>
  <si>
    <t>Aaron</t>
  </si>
  <si>
    <t>Zimmerman</t>
  </si>
  <si>
    <t>azimmerman309@gmail.com</t>
  </si>
  <si>
    <t>At Convening?</t>
  </si>
  <si>
    <t>CIG, CIG</t>
  </si>
  <si>
    <t>CIG, CIG, CIG</t>
  </si>
  <si>
    <t>CIG, CIG, CIG, CIG, CIG, CIG</t>
  </si>
  <si>
    <t>CIG, CIG, GP, GP, G, G, G, G, GP, GP, G, G</t>
  </si>
  <si>
    <t>CIG, CIG, GP, GP, GP, GP, GP, GP, CIG, CIG, SCF, SCF</t>
  </si>
  <si>
    <t>CIG, CIG, SCF</t>
  </si>
  <si>
    <t>CIG, FSC, GP, FSC</t>
  </si>
  <si>
    <t>CIG, SCF</t>
  </si>
  <si>
    <t>FSC, FSC, CIG</t>
  </si>
  <si>
    <t>GP, GP</t>
  </si>
  <si>
    <t>GP, GP, CIG</t>
  </si>
  <si>
    <t>GP, GP, GP, CIG</t>
  </si>
  <si>
    <t>GP, GP, GP, SCF</t>
  </si>
  <si>
    <t>SCF, SCF</t>
  </si>
  <si>
    <t>Column1</t>
  </si>
  <si>
    <t>Similarity</t>
  </si>
  <si>
    <t>Participant Specific Attributes Organization Description</t>
  </si>
  <si>
    <t>Hispanic Outreach of Goodhue County</t>
  </si>
  <si>
    <t>Redeemed Center for Life</t>
  </si>
  <si>
    <t>African Career and Education Resource, Inc</t>
  </si>
  <si>
    <t>Redeemed Center for Lifef</t>
  </si>
  <si>
    <t>Centro de Trabajadores Unidos en Lucha (CTUL)</t>
  </si>
  <si>
    <t>Power of People Leadership Institute</t>
  </si>
  <si>
    <t>IN Equality - Oyate Hotanin</t>
  </si>
  <si>
    <t>Greater MN Worker Center</t>
  </si>
  <si>
    <t>CAIR MN</t>
  </si>
  <si>
    <t>Somali community barwaaqo</t>
  </si>
  <si>
    <t>Appetite For Change, Inc.</t>
  </si>
  <si>
    <t>Kaleo Center</t>
  </si>
  <si>
    <t>Water Legacy</t>
  </si>
  <si>
    <t>KALY RADIO</t>
  </si>
  <si>
    <t>Reviving Sisterhood</t>
  </si>
  <si>
    <t>Midwest Mixed</t>
  </si>
  <si>
    <t>Frogtown Neighborhood Association</t>
  </si>
  <si>
    <t>Reclaim</t>
  </si>
  <si>
    <t>East Side Neighborhood Developoment Company</t>
  </si>
  <si>
    <t>Minnesota Host Home Network</t>
  </si>
  <si>
    <t>Inquilinxs Unidxs Por Justicia</t>
  </si>
  <si>
    <t>G, G, GP, G, GP, SCF</t>
  </si>
  <si>
    <t>FSC, FSC</t>
  </si>
  <si>
    <t>CIG, SCF, CIG</t>
  </si>
  <si>
    <t>CIG, GP, SCF</t>
  </si>
  <si>
    <t>GP, SCF, CIG</t>
  </si>
  <si>
    <t>COMPARISON-&gt;&gt;&gt;&gt;</t>
  </si>
  <si>
    <t>No way to access info</t>
  </si>
  <si>
    <t>Has gotten both CIG grant and another type of grant</t>
  </si>
  <si>
    <t>Still need info?</t>
  </si>
  <si>
    <t>Number still need info</t>
  </si>
  <si>
    <t>Does Allison know if they are POC led?</t>
  </si>
  <si>
    <t>EFBL</t>
  </si>
  <si>
    <t>Greater MN?</t>
  </si>
  <si>
    <t>Number from Greater MN attending</t>
  </si>
  <si>
    <t>Have a map from them?</t>
  </si>
  <si>
    <t>Thomas-Dale District 7 Planning Council d/b/a Frogtown Neighborhood Association</t>
  </si>
  <si>
    <t>email</t>
  </si>
  <si>
    <t>org name</t>
  </si>
  <si>
    <t>name</t>
  </si>
  <si>
    <t>responded yet?</t>
  </si>
  <si>
    <t xml:space="preserve">Black Lives Matter Minneapolis
</t>
  </si>
  <si>
    <t>Hukun</t>
  </si>
  <si>
    <t>hukun@aadevassoc.org</t>
  </si>
  <si>
    <t>Linda</t>
  </si>
  <si>
    <t>linda@aaopmn.org</t>
  </si>
  <si>
    <t>Gary</t>
  </si>
  <si>
    <t>gary.peterson@ananyadancetheatre.org</t>
  </si>
  <si>
    <t>Clyde</t>
  </si>
  <si>
    <t>info@aim-ic.com</t>
  </si>
  <si>
    <t>Va-Megn</t>
  </si>
  <si>
    <t>vamegn@aeda-mn.org</t>
  </si>
  <si>
    <t>Cynthia</t>
  </si>
  <si>
    <t>cindy@bdote.org</t>
  </si>
  <si>
    <t>bemidjiareaindiancenter@gmail.com</t>
  </si>
  <si>
    <t>monica@biigiiwiin.org</t>
  </si>
  <si>
    <t>Kandace</t>
  </si>
  <si>
    <t>kandacem90@gmail.com</t>
  </si>
  <si>
    <t>Ernesto</t>
  </si>
  <si>
    <t>zezke@hotmail.com</t>
  </si>
  <si>
    <t>Shalini</t>
  </si>
  <si>
    <t>sgupta@ceed.org</t>
  </si>
  <si>
    <t>Metric</t>
  </si>
  <si>
    <t>metriccsp@gmail.com</t>
  </si>
  <si>
    <t>M.J.</t>
  </si>
  <si>
    <t>director@crcminnesota.org</t>
  </si>
  <si>
    <t>Jason</t>
  </si>
  <si>
    <t>jason@cyclesforchange.org</t>
  </si>
  <si>
    <t>Ladan</t>
  </si>
  <si>
    <t>defendglendale@gmail.com</t>
  </si>
  <si>
    <t>Ahmed</t>
  </si>
  <si>
    <t>eagleachievementcenter@gmail.com</t>
  </si>
  <si>
    <t>alight@familytreeclinic.org</t>
  </si>
  <si>
    <t>Jonathan</t>
  </si>
  <si>
    <t>jpalmer@hallieqbrown.org</t>
  </si>
  <si>
    <t>Dennis</t>
  </si>
  <si>
    <t>dennis.fazio@hpnampls.org</t>
  </si>
  <si>
    <t>dave@hnampls.org</t>
  </si>
  <si>
    <t>laura@fullthought.net</t>
  </si>
  <si>
    <t>Mary</t>
  </si>
  <si>
    <t>Kathy</t>
  </si>
  <si>
    <t>kathy@reconciliationproject.org</t>
  </si>
  <si>
    <t>Cathy</t>
  </si>
  <si>
    <t>Sunny</t>
  </si>
  <si>
    <t>sunny@laocenter.org</t>
  </si>
  <si>
    <t>Eh Tah</t>
  </si>
  <si>
    <t>ekhu@mnkaren.org</t>
  </si>
  <si>
    <t>Pheng</t>
  </si>
  <si>
    <t>pheej.t@gmail.com</t>
  </si>
  <si>
    <t>Ed</t>
  </si>
  <si>
    <t>ed@menaspeacemakers.org</t>
  </si>
  <si>
    <t>Amy</t>
  </si>
  <si>
    <t>cramhe@augsburg.edu</t>
  </si>
  <si>
    <t>andreal@prochoiceminnesota.org</t>
  </si>
  <si>
    <t xml:space="preserve">Kelly </t>
  </si>
  <si>
    <t>Nevada</t>
  </si>
  <si>
    <t>nrlittlewolf@gmail.com</t>
  </si>
  <si>
    <t>Robert</t>
  </si>
  <si>
    <t>rlilligren@nacdi.org</t>
  </si>
  <si>
    <t>Jane</t>
  </si>
  <si>
    <t>jane.harstad@nativeyouthmn.org</t>
  </si>
  <si>
    <t>Anthony</t>
  </si>
  <si>
    <t>anthony@mnnoc.org</t>
  </si>
  <si>
    <t>Laurie</t>
  </si>
  <si>
    <t>lkratchmer@thefoodgroupmn.org</t>
  </si>
  <si>
    <t>Osman</t>
  </si>
  <si>
    <t>osman.ali@somalimuseum.org</t>
  </si>
  <si>
    <t>Duke</t>
  </si>
  <si>
    <t>duke@fmppp.org</t>
  </si>
  <si>
    <t>Vina</t>
  </si>
  <si>
    <t>kay@voicesforracialjustice.org</t>
  </si>
  <si>
    <t>Linden</t>
  </si>
  <si>
    <t>Linden_Gawboy@yahoo.com</t>
  </si>
  <si>
    <t>rjshimek@hotmail.com</t>
  </si>
  <si>
    <t>tatercoordinator@gmail.com</t>
  </si>
  <si>
    <t>victoriatheater@gmail.com</t>
  </si>
  <si>
    <t>Ned</t>
  </si>
  <si>
    <t>ned@asamblea-mn.org</t>
  </si>
  <si>
    <t>Joe</t>
  </si>
  <si>
    <t>jrice@centerschool.org</t>
  </si>
  <si>
    <t>Valentine</t>
  </si>
  <si>
    <t>kvcadieux@hamline.edu</t>
  </si>
  <si>
    <t>Mahamed</t>
  </si>
  <si>
    <t>calimahamed@gmail.com</t>
  </si>
  <si>
    <t>Fartun.weli@isuroon.org</t>
  </si>
  <si>
    <t>info@indigenous-roots.org; mexica.cenoch@gmail.com</t>
  </si>
  <si>
    <t xml:space="preserve"> </t>
  </si>
  <si>
    <t>POC-led, fargo moorhead</t>
  </si>
  <si>
    <t>POC-led</t>
  </si>
  <si>
    <t>Bemidji area</t>
  </si>
  <si>
    <t>Poc-led</t>
  </si>
  <si>
    <t>POC-led, St. Paul</t>
  </si>
  <si>
    <t>statewide</t>
  </si>
  <si>
    <t>duluth</t>
  </si>
  <si>
    <t>non poc</t>
  </si>
  <si>
    <t>poc led, north minne</t>
  </si>
  <si>
    <t>st. paul, minne city limits</t>
  </si>
  <si>
    <t>poc-led</t>
  </si>
  <si>
    <t>poc-led, frogtown st. paul</t>
  </si>
  <si>
    <t>poc led, statewide</t>
  </si>
  <si>
    <t>non poc, statewide</t>
  </si>
  <si>
    <t>iron range</t>
  </si>
  <si>
    <t>non poc, fargo moorhead</t>
  </si>
  <si>
    <t>non poc, twin cities metro area</t>
  </si>
  <si>
    <t>harrison neighborhood of north minne</t>
  </si>
  <si>
    <t>twin cities metro</t>
  </si>
  <si>
    <t>tentatively: calloway + surrounding area + white earth reservation</t>
  </si>
  <si>
    <t>POC-led and geographic scope: https://goo.gl/forms/gOwV3lMURtfnKAxj2</t>
  </si>
  <si>
    <t>POC-led: https://goo.gl/forms/4WppSgtbJnJMcXOI2</t>
  </si>
  <si>
    <t>Geographic scope: https://goo.gl/forms/fjsDRsp3SmRzcctO2</t>
  </si>
  <si>
    <t>pheng@reclaim.care</t>
  </si>
  <si>
    <t>saba@reclaim.care</t>
  </si>
  <si>
    <t>Saba</t>
  </si>
  <si>
    <t>cstarnold@nacdi.org</t>
  </si>
  <si>
    <t>Cole</t>
  </si>
  <si>
    <t>aberg@thefoodgroupmn.org</t>
  </si>
  <si>
    <t>Anita</t>
  </si>
  <si>
    <t>out of office until Aug 5</t>
  </si>
  <si>
    <t>Diane</t>
  </si>
  <si>
    <t>Diane@dreamofwildhealth.org</t>
  </si>
  <si>
    <t>Sam</t>
  </si>
  <si>
    <t>samgrant3@gmail.com</t>
  </si>
  <si>
    <t>May</t>
  </si>
  <si>
    <t>may_lee_yang@hotmail.com</t>
  </si>
  <si>
    <t>Doug</t>
  </si>
  <si>
    <t>doug@crossculturalalliance.org</t>
  </si>
  <si>
    <t>Deborah</t>
  </si>
  <si>
    <t>deborah@unprisonproject.org</t>
  </si>
  <si>
    <t>Stuart</t>
  </si>
  <si>
    <t>Matt</t>
  </si>
  <si>
    <t>lstuart@chumduluth.org</t>
  </si>
  <si>
    <t>mtraynor@chumduluth.org</t>
  </si>
  <si>
    <t>deluth</t>
  </si>
  <si>
    <t>Senta</t>
  </si>
  <si>
    <t>senta@mnhomelesscoalition.org</t>
  </si>
  <si>
    <t>Sara</t>
  </si>
  <si>
    <t>s.grace@bridgeforyouth.org</t>
  </si>
  <si>
    <t>julia@mnipl.org</t>
  </si>
  <si>
    <t>Julia</t>
  </si>
  <si>
    <t>erin@mnipl.org</t>
  </si>
  <si>
    <t>Erin</t>
  </si>
  <si>
    <t>Lat/Lng</t>
  </si>
  <si>
    <t xml:space="preserve">African Career and Education Resource, Inc (ACER, Inc) </t>
  </si>
  <si>
    <t>Pan Asian Arts Alliance</t>
  </si>
  <si>
    <t>1007 West Broadway Ave, Minneapolis, MN 55411</t>
  </si>
  <si>
    <t>350 Logan Ave N # 201, Minneapolis, MN 55405</t>
  </si>
  <si>
    <t>47.517855, -92.534207</t>
  </si>
  <si>
    <t>44.925327, -93.094509</t>
  </si>
  <si>
    <t>Geography</t>
  </si>
  <si>
    <t>Statewide</t>
  </si>
  <si>
    <t>Goodhue</t>
  </si>
  <si>
    <t>Clay</t>
  </si>
  <si>
    <t>Blue Earth</t>
  </si>
  <si>
    <t>Hennepin; Ramsey</t>
  </si>
  <si>
    <t>Hennepin; Ramsey; Rock</t>
  </si>
  <si>
    <t>Description</t>
  </si>
  <si>
    <t>Hennepin</t>
  </si>
  <si>
    <t>Ramsey</t>
  </si>
  <si>
    <t>Renville; Redwood</t>
  </si>
  <si>
    <t>Benton; Sherburne; Stearns</t>
  </si>
  <si>
    <t>Becker; Cass; Hubbard; Otter Tail; Wadena</t>
  </si>
  <si>
    <t>Statewide; Hennepin; Ramsey</t>
  </si>
  <si>
    <t>Beltrami; Crow Wing; Stearns; Isanti; Hennepin; Ramsey; Dakota; Nicollet</t>
  </si>
  <si>
    <t>Polk; Stearns; Kandiyohi; Nicollet; Hennepin; Ramsey; Waseca; Rice; Olmsted; Wabasha</t>
  </si>
  <si>
    <t>Stearns; Kandiyohi; Benton</t>
  </si>
  <si>
    <t>Lyon; Ramsey</t>
  </si>
  <si>
    <t>Hennepin; Ramsey; Stearns; Olmsted</t>
  </si>
  <si>
    <t>Anoka; Dakota; Hennepin; Ramsey; Nobles; Scott; Washington</t>
  </si>
  <si>
    <t>Sustainable Local Living Economy Design and Development in North Minneapolis will engage farmers, resident and young people to facilitate a series of design sessions to imagine and begin to create a local living economy. The focal point will be creating small area plans for Plymouth and Glenwood avenues - as a living economy corridors.  Our community, following Walter Rodney's analysis of underdevelopment, is developed at our expense to foster conditions for gentrification or left in the cold. We are bringing the heat of ecological and cultural design to our own model of development from the inside out, organizing a design for a network of enterprises that link inputs and outputs and hire locally - co-creating health and wealth.</t>
  </si>
  <si>
    <t>APAC organizes residents of manufactured home parks to stand up for their rights, improve park conditions, fight park closings and displacement, and advocate for policy change. APAC will work with manufactured home park residents in Burnsville to fight a new code enforcement policy that targets parks and treats housing code violations at manufactured home parks as a criminal offense, including residents cited for minor infractions such as visible trash cans, kiddie pools, and swings.</t>
  </si>
  <si>
    <t>Ananya Dance Theatre (ADT) and the Coalition of Asian American Leaders (CAAL) will develop an Asian American Institute of Artistic Practice &amp; Social Justice (Institute) to create an enterprise incubator as a home, gathering, and work space for change making artists and creatives of color and the community organizations that support their work.</t>
  </si>
  <si>
    <t xml:space="preserve">The mission of Asian American Organizing Project (AAOP) is to advance Asian American participation in democracy for an equitable and just society. AAOP strives to strengthen and expand their capacity as a platform to engage and foster community oriented leaderships of youth and young (15-35 years old) Asian community members in Minnesota. They utilize a Gender Justice lens (that analyzes gender, sexuality, race, ethnicity, class, age, mental health, and disabilities) through their civic and cultural organizing to address issues affecting their family and neighborhoods.; The Asian American Organizing Project (AAOP) strives to lead, sustain and cultivate grassroots organizing in the Asian American and Pacific Islander (AAPI) community in Minnesota.  They focus on young Asian American leadership development through community cultural organizing to address issues affecting AAPI families and neighborhoods.  AAOP staff and volunteers have been instrumental in APIs4BlackLives, a coalition of AAPI organizations that are standing in solidarity with Black Lives Matter.  AAOP has also engaged in a civic engagement campaign to mobilize thousands of young Asian Americans to the polls, and they have advocated for voting rights for exonerated community members and limited English proficiency voters.; Asian American Organizing Project will reach out to 12,000 young Asian American and Pacific Islanders (AAPI) voters to create and implement a comprehensive community and cultural organizing program. Partnering with MN Voices, the program will inspire, connect and train young AAPI community members to make a difference in their neighborhoods and communities through civic engagement, leadership and community organizing. </t>
  </si>
  <si>
    <t>The project will explore and develop a unique mentoring concept that pairs autistic youth with older autistic peers in 1-on-1 mentoring relationships. While several mentoring models exist for pairing autistic youth with neurotypical mentors (people without autism), this project represents a novel model, for which no precedent exists.</t>
  </si>
  <si>
    <t>Bdote Learning Center, an Ojibwe and Dakota immersion school, will work with community elders to develop and pilot traditional, culturally specific approaches to addressing student behavior challenges.</t>
  </si>
  <si>
    <t>The Defend Glendale Campaign will organize to prevent the Minneapolis Public Housing Authority from demolishing or privatizing Glendale Town Homes, which is currently home to 600-low income Minnesotans, majority people of color. The campaign will build resident leadership to pressure the housing authority to repairs the homes, stop resident abuse, and secure Glendale for low-income residents for generations to come.</t>
  </si>
  <si>
    <t>Frogtown Neighborhood Association will host gatherings for neighbors to come together to engage in conversation, healing, and development of solutions for remembering victims of gun violence and keeping their communities safe.</t>
  </si>
  <si>
    <t>The Greater Minnesota Worker Center (GMWC) is based in St. Cloud, MN, who is home to over 10,000 recently arrived immigrant, migrant, and refugee workers. The GMWC is a multi-sector, community-based organization that believes, in order to achieve meaningful social and political empowerment, low-wage workers need to organize at work and in the community to create change. The GMWC is dedicated to empowering and supporting low wage workers through leadership development and community based direct action organizing on corporate and local targets.; The Greater Minnesota Worker Center (GMWC) strives to eliminate poverty wages and to raise standards of living for low-wage workers in St. Cloud and surrounding communities. GMWC is particularly concerned with problems affecting immigrant workers and workers of color (Somali, South Sudanese, Latino and African American). Their campaigns have centered on such issues as living wages, fair and flexible scheduling, wage theft, safety, respect, discrimination on the job and earned sick and safe time.; Greater MN Worker Center is an organization focused on creating systemic change and economic/social justice for low-wage workers in St. Cloud and surrounding communities. It has identified many of these workers to be people of color (Somali, South Sudanese, Latino and African American). Greater MN Worker Center would like to develop a worker led and empowered organization. By building leaders and providing them leadership opportunities, it hopes that it can address issues within workplaces and the community through organizing and action. Some of the areas it would like to see change in is living wages, fair and flexible scheduling, wage theft, safety, respect, and discrimination on the job, and earned sick and safe time.; Greater MN Worker Center is an organization focused on creating systemic change and economic/social justice for low-wage workers in St. Cloud and surrounding communities. It has identified many of these workers to be people of color (Somali, South Sudanese, Latino and African American). Greater MN Worker Center would like to develop a worker led and empowered organization. By building leaders and providing them leadership opportunities, it hopes that it can address issues within workplaces and the community through organizing and action. Some of the areas it would like to see change in is living wages, fair and flexible scheduling, wage theft, safety, respect, and discrimination on the job, and earned sick and safe time.</t>
  </si>
  <si>
    <t>Hallie Q. Brown will embark on an intergenerational history preservation project designed to engage neighborhood youth in learning about, capturing, and preserving Rondo Community history. Through a partnership between Gordon Parks High School and the University of Minnesota, students will learn local Black history through interviews, immersion in and digitizing of source materials at Hallie Q. Brown.</t>
  </si>
  <si>
    <t>The Harrison Neighborhood Association will bring businesses, residents and developers together to create a community equity school for evaluating development in Harrison, where residents have a voice equal to that of moneyed interests. We will implement the equity tool, make recommendations and lead community advocacy accordingly.; HNA works to create a prosperous and peaceful community that equitably benefits all of Harrison neighborhood's diverse racial, cultural, and economic groups. Over the next three years, HNA is building a leadership development curriculum program by and for Harrison residents, and led by the experience of people of color. The program connects to the underlying experiences of racial oppression that shape this neighborhood such as 1) gentrification and forced economic displacement of people of color from homes and communities; 2) ownership of food systems in an area that has been environmentally comprised in order to serve regional profit interests; and 3) economically just models for business ownership and employment even as current conditions resist sustainable working condition collective and community-based ownership practices.</t>
  </si>
  <si>
    <t>The Heritage Park Neighborhood will engage residents in a brand new livability committee to impact development priorities; shape the neighborhood priority plan; ensure that resident voices are heard; and to encourage development that advances the health and livaibility of the community.  </t>
  </si>
  <si>
    <t>Through this project, recent alumni of the Hispanic Leadership Program will apply their leadership and community-building skills to tackling the issue of community and local law enforcement relations in Goodhue County.</t>
  </si>
  <si>
    <t>Immigrant Development Center (IDC) will work with immigrants, refugees and new Americans so that they can access stable housing by providing co-signing and housing education. IDC will also provide a housing education program where financial literacy, budgeting and rules of renting are taught to tenants who are unfamiliar with the American system so that they can develop a positive rental history.; The Housing Education and Co-signer Program is a pilot program to provide financial literacy training, assistance understanding lease terminology, equipment training, and co-signer services to immigrants who come to the area without a formal rental or credit history.</t>
  </si>
  <si>
    <t>IN Equality works with individuals and communities who have been impacted by the criminal justice system and police encounters. They will host four Community Justice Tribunals to foster connections, reduce isolation, promote healing, and develop strategies for organizing to change criminal justice practices at the city, county and state levels.</t>
  </si>
  <si>
    <t>Indigenous Roots will connect indigenous, immigrant, and low-income community members to current opportunities in the transition to a renewable energy economy. The project seeks to seed a systemic shift towards community control, democracy and equity in how energy is produced, financed and delivered in the Twin Cities.</t>
  </si>
  <si>
    <t>This project will provide Twin Cities Iraqi refugees, who would otherwise face language, cultural, and economic barriers, an artistic platform for sharing their stories. Iraqi Voices, Stronger Together will be a series of bi-lingual theatre workshops for Iraqis that will conclude with professional performances and community conversations.</t>
  </si>
  <si>
    <t>This project will focus on improving health access and outcomes for members of the Somali and East African communities. Isuroon, a health care agency led by East African community members, will partner with Open Cities Health Clinic to train health care providers on culturally competent and relevant approaches to health care and to provider-patient relationships.</t>
  </si>
  <si>
    <t>The Southeast Asian Engagement Project will build relationships between community members and the City of Minneapolis to ensure that Southeast Asian have a voice in decision-making with various City of Minneapolis Departments.</t>
  </si>
  <si>
    <t>ManForward will engage Hmong men and boys in community to build their capacity to address the systemic causes of domestic violence, sexual assault and other forms of gender based violence against women, girls and queer folks. They will create a toolkit consisting of 15 different exercises around gender, manhood and masculinity and its connections to gender violence. The toolkit will support Hmong men and boys to build their capacity to address the systemic causes of domestic violence, sexual assault and other forms of gender based violence.</t>
  </si>
  <si>
    <t>This project will work to fill the resource gap around reproductive health care for newly migrated Hispanic people. As women travel across the border, 80% of them are victims of sexual assault and violence. This project will work with Latino/as, undocumented immigrant advocates, sexual health organizers, and community members to co-create training materials, and then facilitate Train the Trainer sessions to educate community members and advocates to address this gap in resources and information.</t>
  </si>
  <si>
    <t>The mission of the Native American Community Development Institute (NACDI) is to build power in American Indian communities throughout the Twin Cities area and the state of Minnesota. We build power through four core practices: community organizing, asset-building, community engagement and Indigenous arts. Our major successes include mobilizing and organizing the initiative that resulted in the 2014 City of Minneapolis resolution to recognize Indigenous peoples day; establishing a contemporary Indigenous arts program that exhibits emerging and community-based Native artists in order to provide free, accessible, and cultural enrichment to the Native and non-Native public; and our "Make Voting a Tradition" initiative which has worked to Indigenize voting engagement efforts and empower our community to vote in local, tribal, state, and federal elections in the highest possible numbers. Additionally, NACDI has successfully established and maintained our Four Sisters Farmers Market, a weekly opportunity for Indigenous farmers, businesses, and makers to sell their products here in the Native community.</t>
  </si>
  <si>
    <t xml:space="preserve">NAVIGATE promotes leadership development for young adults that face financial, social, and legal barriers. Navigate is also the largest network of undocumented students and allies in the state of Minnesota.  Created to provide a safe space for undocumented students seeking leverage to bring solutions for academic advancement, job allocation and immigration relief. Seeking systemic justice, its members are considered champion stakeholders for federal immigration reform, intersectional state legislature, and passionate advocates for their own families and community members that remain under the shadows.  Navigate became an intersectional safe space for undocu-women and undocu-GBLTQ youth considered the most vulnerable groups in US society.   </t>
  </si>
  <si>
    <t xml:space="preserve">OutFront will engage trans leaders and allies in Greater Minnesota to work with 10 public schools and workplaces towards policy change to create safer, more equitable, inclusive schools and work places for trans Minnesotans, with a specific focus on trans people of color and other intersectional identities. The aim of the project is develop and center trans leadership and to address disparities across education, health, employment and housing.; OutFront Minnesota Community Services works across Minnesota to achieve full equity for all lesbian, gay, bisexual, transgender and queer (LGBTQ) people and their families. OutFront builds and organizes power from within communities through leadership development and continuing public education around community issues. It is cultivating and training leaders across the state including youth, transgender people, people of color, and faith communities. OutFront organizes for lasting change through political and grassroots action, public education, community organizing, collaboration, leadership development and by providing legal and anti-violence services to LGBTQ people.; OutFront is working to train and support trans spokespeople in a public education campaign to talk to members of the media, community members, representatives and lead trainings with the purpose of educating the general public about trans people  and their lived experiences. What is distinct about trans experiences, particularly as it relates to public messaging and education is that there is still not enough accurate information accessible to provide a more complete picture of trans people and their diversity of experiences.  According to a recent PEW poll, only 8% of Americans say they personally know someone who is trans. OutFront will work to raise awareness and public support for trans people and issues that impact their lives.  </t>
  </si>
  <si>
    <t>Phillips Indian educators (PIE) is a network of Indian educators and parents that advances racial equity by organizing educators and administrators across school systems to change the way Native children are educated. PIE informs educators about: how Native children best learn and how Native parents best engage; how classrooms and programs should be organized to support Native learning styles; how curriculum can be integrated and related to Native history and culture; and, how the richness of Indian history and daily contributions to society can be shared with all students. </t>
  </si>
  <si>
    <t>RECLAIM! will build a seasoned facilitation team to develop a collaborative process led by and for trans people to deepen connections across generations within the trans community, and offers safety, hope, confidence, and skill-building to trans and gender nonconforming or gender questioning youth who are isolated and/or marginalized because of their identity.</t>
  </si>
  <si>
    <t>This project will feature the voices, programming, and music of Native communities and communities of color in the Fargo-Moorhead area through a community-owned and operated radio station.; The People's Press Project will focus on a media justice and skill-building program with communities of color in Moorhead, MN.  This project will provide the community with the tools to become more civically engaged and will expand the opportunities for the community to produce their own media and tell their own stories.</t>
  </si>
  <si>
    <t>Tretter Collection in GLBT Studies at the University of Minnesota</t>
  </si>
  <si>
    <t>Watercourse Counseling will pilot therapeutic groups for Transracial/Transnational (T/T) adult adoptees in the Twin Cities. Led by and for adoptees of color placed primarily in white homes, Watercourse will use the power of group work and shared experiences to support T/T adult adoptees as they explore, heal, and transform themselves related to issues of loss, identity, racial trauma, and shame.</t>
  </si>
  <si>
    <t>WSCO will begin the process to design and propose a new model of community policing that reflects and honors West Side residents. The model will be authored, designed, and executed by and for the use of West Side residents. The project will create a safe, collaborative space to explore alternative models of policing and will move beyond conversation into action.</t>
  </si>
  <si>
    <t>For over two decades, the White Earth Land Recovery Project has been a grassroots leader in economic and environmental justice, food security, community development, and energy sovereignty. Established in 1989, the White Earth Land Recovery Project is one of the most successful reservation-based non-profit organizations nationally. They work with organizations and tribal governments to develop programs that promote environmental and cultural stewardship while strengthening the community. The mission of the White Earth Land Recovery Project is to facilitate the recovery of the original land base of the White Earth Indian Reservation while preserving and restoring traditional practices of sound land stewardship, language fluency, community development, and strengthening our spiritual and cultural heritage.</t>
  </si>
  <si>
    <t>St. Paul; St. Cloud; Dakota; Ramsey</t>
  </si>
  <si>
    <t>Anoka; Dakota; Hennepin; Ramsey; Stearns</t>
  </si>
  <si>
    <t>Oyate Hotanin (Voice of the People)</t>
  </si>
  <si>
    <t>Freeborn; Kandiyohi; Mower; Nobles; Olmsted; Rice; Steele; Waseca; Winona</t>
  </si>
  <si>
    <t>Anoka; Carver; Dakota; Hennepin; Ramsey; Washington</t>
  </si>
  <si>
    <t>Anoka; Carver; Chisago; Dakota; Hennepin; Ramsey; Sherburne; Steams; Washington</t>
  </si>
  <si>
    <t>2211 Riverside Ave</t>
  </si>
  <si>
    <t>Rural and American Indigenous Leadership (RAIL) grows women's leadership and increases women's reprenstation in policital and decision making leadership roles. In tribal and rural communities, RAIL trains and supports women in political and civic engagement, public policy, and leadership. This project will focus on creating a RAIL program curriculum.</t>
  </si>
  <si>
    <t xml:space="preserve">The mission of the Alliance for Sustainability is to bring about personal, organizational &amp; planetary sustainability. The Alliance will equip 40 citizen-activists who serve on their cities' planning, environment, and/or human rights commissions with the tools, strategies and support needed to ensure that metro-area cities include the Metropolitan Council's Equity Goals in their 2016 planning. </t>
  </si>
  <si>
    <t>Through an innovative effort that combines traditional Ojibwe lifeway's such as fishing, gathering, and gardening with ceremony, the Bemidji Area Indian Center will bring elders, families, and young people together to share traditional knowledge, encourage healthy eating and lifestyles, and promote cultural connections.</t>
  </si>
  <si>
    <t>Community Artists Leadership Initiative (C.A.L.I.)'s mission is to building the leadership capacity of marginalized artists, so that they can thrive in their art form. Use art as a way to create change within the community, and affect systems and resources that are not readily available to marginalized artists. C.A.L.I. will host 10 community conversations and 10 interviews with art administrators who work in or come from marginalized communities to better understand the barriers to success and opportunities for growth, so that we can create a more transparent system for accessing resources.</t>
  </si>
  <si>
    <t>The District Councils Collaborative (DCC), in partnership with Minnesota's Olmstead Implementation Office (OIO), will build capacity within the disability community to engage with and influence transportation planning processes and decision-making to create more inclusive communities. DCC will use project outputs to guide safety improvement plans at Dale Street &amp; I-94 and OIO will integrate project learnings into ongoing implementation of Minnesota's Olmstead Plan.</t>
  </si>
  <si>
    <t>The Minnesota Coalition for the Homeless uses public policy, organizing, coalition-building, and communication strategies to end homelessness and promote lasting change in Minnesota. Its membership structure unites front-line staff, people who have experienced homelessness, and nonprofit executives around bold legislative campaigns while developing leaders and growing an organized base. As a result of the work of the Minnesota Coalition for the Homeless, Minnesota's social service sector goes beyond charity--it becomes a driver for economic justice. The long-term vision of the Minnesota Coalition for the Homeless is for everyone in Minnesota to have housing stability and economic security. It advocates for public policies that bring concrete and substantial change to the systems that impact housing and economic security.</t>
  </si>
  <si>
    <t>The community solar revolution has come to Minnesota. It's a bonanza time with money to be made. Unfortunately, the opportunities afforded to those with good credit scores and capital may not be available to low income communities. Minnesota Interfaith Power &amp; Light (MNIPL) and Neighborhoods Organizing for Change (NOC) believe the solar revolution should be accessible to all. To promote economic access for the long term, MNIPL and NOC will jointly organize a pilot Community Solar Garden in North Minneapolis that will be designed and owned by faith communities and low-income residents, and represent the values of inclusion, access, job creation, and localism. We will connect the dots between the project and state level solar legislation.</t>
  </si>
  <si>
    <t>Native Youth Alliance of Minnesota emerged from efforts following the 2008 Minnesota Summit on Afterschool Learning Opportunities. NYAM's purpose is to prepare Native youth for a lifetime of choices, not circumstances. NYAM is an initiative supported by leadership from all eleven tribal nations in Minnesota.</t>
  </si>
  <si>
    <t xml:space="preserve">Shades of Yellow (SOY) is the first and only incorporated Hmong Lesbian, Gay, Bisexual, Transgender, and Queer non-profit organization in the world. It works to cultivate a community of empowered Hmong LGBTQ to challenge what it has know and ignite positive cultural and social change. SOY's primary constituents are Hmong and Asian Pacific Islander (API) LGBTQ.  SOY has deepened its analysis and identified that the root of the oppression of Hmong LGBTQ stems from misogyny, patriarchy and homophobia in the Hmong culture. SOY's work is focused on dismantling cultural systems and beliefs which perpetuate misogyny, patriarchy and homophobia in the Hmong community. It envisions a world where Hmong LGBTQ are liberated and celebrated for who they are.; Shades of Yellow mission is to cultivate a community of empowered Hmong LGBTQ and allies to ignite positive cultural and social change. This project will bring together diverse QTPOC leaders to create new solutions and organizational models beyond current non-profit structures. The goal is to create sustainable models that reflect and uphold cultural and communal values, maximize collaboration and impact, and decrease burnout among community activists and leaders. </t>
  </si>
  <si>
    <t>This application is to implement and pilot a 9-session new curriculum designed called The Focus UP Program for inmates in 4 Minnesota prisons to build capacity for non-cognitive skills. The goal is to engage them in acquiring new life skills for a positive future outside of prison, and for staff to then incorporate the curriculum into their future programing. By end of the pilot, participants will walk away with skills in: Listening, planning, self-reflection, relationship building, tolerance for stress in the face of adversity, conflict resolution skills, public speaking, and interview skills. Participants will learn how to apply the life skills they've learned to daily life. The 4 prisons will be identified in the budget narrative.</t>
  </si>
  <si>
    <t>Twin Cities Agricultural Land Trust will work with Stone's Throw Urban Farm, a 2.5 acre organic production farm, to organize and transition farm landholdings to Twin Cities neighborhoods seeking agricultural land access. Centering land as a major form of equity and food system, the farm's 12 sites present major opportunities to repair legacies of historic disinvestment and combat gentrification.</t>
  </si>
  <si>
    <t>WaterLegacy's Capacity and Congruence for Change project will engage community members to increase power and support for protecting clean water, health and tribal resources from mining pollution.; The Minnesota Pollution Control Agency (MPCA) is failing to regulate mine pollution or reduce toxic mercury contamination. In response, WaterLegacy will use advocacy, partnership with tribes, and citizen engagement to compel the U.S. Environmental Protection Agency (EPA) to protect Minnesota waters from mining pollution and to support new tribal authority to protect and restore reservation waters harmed by upstream contaminants.; WaterLegacy utilizes public engagement, legal and scientific research and advocacy, and mentoring of citizen experts to prevent sulfide mining pollution from contaminating clean water, destroying wild rice, increasing toxic mercury in fish, and degrading natural and tribal resources. WaterLegacy works in partnership with Indian tribes, collaborates with medical, public health and sustainable food groups, and works in coalition with environmental groups to increase its mutual capacity and efficacy to achieve environmental health and environmental justice priorities.</t>
  </si>
  <si>
    <t xml:space="preserve">Dakota Wicohan (pronounced wee-cho-han and Dakota for 'lifeways') is a Dakota-led nonprofit organization founded and led by members of Lower and Upper Sioux Communities. Our program strategies are remember, reclaim, and reconnect. Serving as a cultural incubator, DW helps 400 +community members annually in southwestern Minnesota through our continuum of intergenerational programs in four areas: language, lifeways, leadership, and outreach &amp; education.; Dakota Wicohan is dedicated to revitalizing the Dakota language. With just five first-language speakers remaining, we do not have a critical mass of speakers in our southwestern Dakota tribes. Ten families want to come together to experiment with new ways of promoting intergenerational speaking at home and in the community.  Over the next year, our collective will try out combinations of proven techniques (immersion, total physical response/TRP, and contextual speaking).  Families will compare pre and post level language use and collectively identify an all-new innovative model for family and community-based language learning.  After the project ends, will use what this data to implement our new evidence-based model in our community.; Dakota Wicohan (DW) is an active Native non-profit educational organization working to revitalize Dakota lifeway's and language. Serving as an incubator, DW connects community members to the Dakota language (Dakota lapi) and lifeway's through our continuum of intergenerational programs in four areas: Language, Lifeway's, Leadership and Outreach &amp; Education. </t>
  </si>
  <si>
    <t>The Asian Economic Development Association (AEDA) was formed by St. Paul's Asian small business owners, residents, and community leaders to increase economic opportunities for low income Asian Americans in the Twin Cities. This project will work with local restaurants, farmers and community members to create an innovative local food system that will improve the community's health and wealth.</t>
  </si>
  <si>
    <t>St. Louis</t>
  </si>
  <si>
    <t xml:space="preserve">This project will reduce housing barriers for low-wealth renters of color in St. Paul's Frogtown and Rondo neighborhoods. Through organizing, workshops, policy change, and landlord education this project will focus on ensuring that past eviction and criminal records do not prevent renters from finding a stable, safe, affordable place to live.  </t>
  </si>
  <si>
    <t>Bloomington; Aitkin; Benton; Carlton; Carver; Dakota; Doublas; Hennepin; Isanti; Kandiyohi; Koochiching; Lake; Meeker; Morrison; Pope; St. Louis; Scott; Stearns; Swift; Todd</t>
  </si>
  <si>
    <t>Hennepin; Ramsey; St. Louis</t>
  </si>
  <si>
    <t>Carlton; Cook; Itasca; Koochiching; Lake; Lake of the Woods; St. Louis</t>
  </si>
  <si>
    <t>Ramsey; Beltrami; Itasca; St. Louis; Wadena; Cass; Crow Wing; Aitkin</t>
  </si>
  <si>
    <t xml:space="preserve">St. Louis; Clay; Stearns; Southern; Ramsey </t>
  </si>
  <si>
    <t>Statewide; Aitkin; Carlton; Cook; Lake; St. Louis</t>
  </si>
  <si>
    <t>Project FINE will work to discover the underlying challenges and barriers that prevent youth from refugee and immigrant families from post-secondary educational success. With deeper understanding, they will be able to create new innovations to overcome these challenges, help youth achieve their educational goals and ensure that the unique talents of this generation of diverse young people are not missed.</t>
  </si>
  <si>
    <t>46.9839770,-95.9099828</t>
  </si>
  <si>
    <t>44.9827416,-93.2996479</t>
  </si>
  <si>
    <t>This project will bring together local community activists, city, county and state staff/policy makers, and national leaders on Green Zones to address the persistent environmental harms that disproportionately face low-income and residents of color. In partnership with Tamales y Bicicletas this project will identify and build support for concrete steps and policy changes needed for moving Green Zones forward in Minneapolis.</t>
  </si>
  <si>
    <t xml:space="preserve">In response to the community's desire for access to "real food" in North Minneapolis, Appetite For Change (AFC) and the Northside Economic Opportunity Network (NEON) will partner to begin the "Extreme Corner Store Makeover" process of turning a junk food convenience store into a full service grocer to meet the unmet food needs in the community. The blue print for this process was created through community engagement and in partnership with the current owner of the corner store.; The Northside Growers Collaborative is an off-shoot from the Fresh Corners initiative and is a joint effort with Main Street Project (MSP) and Community Table Cooperative (CTC). Fresh Corners is building a local-foods, value-based supply chain in North Minneapolis to increase access to fresh foods while building community power to affect policy, systems and environmental changes to how food is consumed in this community.  This project came out of 3 years of listening to community and building a better collective understanding of food justice issues, and will test a community generated solution to the broken food system in North Minneapolis by increasing capacity of African American urban farmers to grow, market and distribute produce.   </t>
  </si>
  <si>
    <t>The American Indian Family Center will create the first and only American Indian culturally-specific Chemical Dependency program in Ramsey County, serving American Indian residents of St. Paul. The approach will honor and incorporate Native values, culture, and beliefs and will take into account the four aspects of a person: the physical, mental, emotional and spiritual state.</t>
  </si>
  <si>
    <t xml:space="preserve">The American Indian Movement Interpretive Center's mission is to protect Indigenous peoples, cultures, nature, spirituality, and grandmother earth through accurate interpretation. The Truth Tellers Program will provide American Indian youth with opportunities to embrace their culture, connect with community elders, and learn how to impact political, social and environmental issues. </t>
  </si>
  <si>
    <t>Bii Gii Wiin CDLF promotes home ownership and economic vitality among Native Americans in Minnesota. This project will bring together Tribal government, City Councilmembers, financial institutions and community members to identify current resources, make better use of those resources, adjust and create policies; and eliminate barriers for American Indian asset acquisition.</t>
  </si>
  <si>
    <t>Black Lives Matter Minneapolis (BLM) works as a grassroots organizing core team of majority young, Black and queer individuals to confront police brutality and stop the unnecessary deaths and harassment of Black people, specifically in Minnesota. BLM does this in several ways: direct action, social media, political education, community building, and policy change. BLM intends to push policy demands a city and statewide levels that begin to undo the inherently racist systems that uphold police departments.</t>
  </si>
  <si>
    <t>2017; 2016</t>
  </si>
  <si>
    <t>2016; 2015</t>
  </si>
  <si>
    <t>2017; 2016; 2016</t>
  </si>
  <si>
    <t>2016; 2016; 2015; 2015</t>
  </si>
  <si>
    <t>2016; 2016; 2015</t>
  </si>
  <si>
    <t>2017; 2016; 2016; 2015</t>
  </si>
  <si>
    <t>2016; 2016</t>
  </si>
  <si>
    <t>2017; 2015</t>
  </si>
  <si>
    <t>2015; 2015</t>
  </si>
  <si>
    <t>2017; 2015; 2015</t>
  </si>
  <si>
    <t>2017; 2016; 2015</t>
  </si>
  <si>
    <t>2017</t>
  </si>
  <si>
    <t>2016</t>
  </si>
  <si>
    <t>CIG; CIG</t>
  </si>
  <si>
    <t>GP; GP; CIG</t>
  </si>
  <si>
    <t>EFBL; GP; GP; SCF</t>
  </si>
  <si>
    <t>FSC; FSC; CIG</t>
  </si>
  <si>
    <t>CIG; FSC; GP</t>
  </si>
  <si>
    <t>GP; GP; GP; SCF</t>
  </si>
  <si>
    <t>GP; CIG</t>
  </si>
  <si>
    <t>CIG; SCF</t>
  </si>
  <si>
    <t>SCF; SCF</t>
  </si>
  <si>
    <t>CIG; EFBL; GP</t>
  </si>
  <si>
    <t>CIG; SCF; CIG</t>
  </si>
  <si>
    <t>GP; SCF</t>
  </si>
  <si>
    <t>SCF; CIG</t>
  </si>
  <si>
    <t>CIG; CIG; SCF</t>
  </si>
  <si>
    <t>The African Career, Education &amp; Resource, Inc (ACER) is a volunteer-driven, community-based organization founded to close the resource, health and information disparity gaps within Minnesota’s communities of African descent. ACER engages communities of color, mainly the African immigrant community in the northwest suburbs of Minneapolis, to organize around issues of economic development such as employment, health, education and civic engagement through an equity lens. ACER also work to connect the community to resources.; ACER seeks to organize the African immigrant community specifically in Brooklyn Park and Brooklyn Center. Through community engagement, ACER will create a Blue Print for Equity to put forth a pro-active agenda and vision around how to solve housing issues in the area. The Blue Print will then serve as a jumping off point to work with local government.</t>
  </si>
  <si>
    <t>2017; 2016; 2016; 2016; 2015; 2015</t>
  </si>
  <si>
    <t>GP; CIG; GP; GP; CIG; SCF</t>
  </si>
  <si>
    <t>GP; GP; GP</t>
  </si>
  <si>
    <t>Young Muslim Collective</t>
  </si>
  <si>
    <t>2801 21st Ave S Ste 100, Minneapolis, MN</t>
  </si>
  <si>
    <t>AASA will bring together a Council of Community Elders to help law enforcement interact with the African immigrant community in Moorhead in a more positive, culturally-aware, collaborative way. The Council of Elders will draw on their experience in solving community challenges and their deep community relationships to assist law enforcement in reducing crime, improving community relations, and in using culturally-specific conflict management.</t>
  </si>
  <si>
    <t xml:space="preserve">CAIR will launch a "Challenging Islamophobia" campaign to counter misinformation, hate-crimes and hysteria. Muslim leaders will engage non-Muslim community members as critical messengers in challenging Islamophobia in Greater Minnesota and Twin Cities and will equip them with resources and skills to reach out to fellow non-Muslims.; CAIR-Minnesota is the State's only civil rights advocacy group serving Muslims. They advocating for the civil rights, employment discrimination, religious and racial harassment, and the elimination of bias by creating change in the law enforcement and the Human Resources systems. </t>
  </si>
  <si>
    <t>This project will build on Centro's long standing community organizing, leadership development and education work within rural Latino communities. Centro will train and organize community leaders to impact local and country policies that affect their lives. Training and organizing will equip leaders to influence areas including: labor rights, citizenship and food sovereignty. Youth leadership training will focus on education equity and college access.</t>
  </si>
  <si>
    <t>The mission of Centro de Trabajadores Unidos en Lucha (CTUL) is to organize and develop the leadership of low-wage workers so they can build power and win fair wages, dignity, and a voice in the workplace. CTUL began in 2007 as a program of Workers Interfaith Network and initially focused on connecting wage theft victims with volunteer lawyers who could try to win back stolen wages on the workers' behalf. This individualized approach could not solve the systemic problem of wage theft, so in 2009 CTUL shifted to a leadership development and organizing model.; CTUL is a constituent-led Worker Center organizing low-wage workers in the Twin Cities to develop leadership and educate one another, building power and leading the struggle for fair wages, fair working conditions, and a voice in the workplaces. CTUL is an organization of workers and for workers, committed to changing low-wage industry injustices by challenging the root causes of economic injustice through worker-led organizing. CTUL is currently leading three campaigns: Workplace Rights Defenders ("deputizing" workers to defend workplaces rights), Cleaning Campaign (fighting for fair wages and working conditions in retail cleaning), and the Fight for $15 (fighting for $15 an hour and union rights with fast food workers).; Drawing on lessons from their groundbreaking Cleaning Campaign, CTUL's new Residential Construction campaign will develop the leadership of construction workers so they can find solutions to the rampant wage theft and dangerous working conditions that plague their industry.; CTUL will work with Target and other big box retailers to adopt and implement Responsible Contract Policies, which will eventually require sub-contractors to improve wages and working conditions for retail cleaners.; CTUL is a constituent-led Worker Center organizing low-wage workers in the Twin Cities to develop leadership and educate one another, building power and leading the struggle for fair wages, fair working conditions, and a voice in the workplaces. CTUL is an organization of workers and for workers, committed to changing low-wage industry injustices by challenging the root causes of economic injustice through worker-led organizing. CTUL is currently leading 3 campaigns: Workplace Rights Defenders ("deputizing" workers to defend workplaces rights), Cleaning Campaign (fighting for fair wages and working conditions in retail cleaning), and the Fight for $15 (fighting for $15 an hour and union rights with fast food workers).</t>
  </si>
  <si>
    <t>With the completion of the Steve O'Neil Apartments and the Lincoln Park School Apartments, which together provide 94 units of affordable housing for homeless and low-income families, the highest priority housing need in Duluth has shifted to individuals with multiple barriers to stable housing (commonly called the "hardest to house" (HTH)). We propose to organize a strategy team, made up primarily of people who fit this description, to engage developers, funders, city government, and affordable housing agencies in developing a solution with the HTH, not for them. We know that this approach will create a more equitable, creative and inclusive solution than would be possible with their continued exclusion and marginalization.</t>
  </si>
  <si>
    <t>The Conflict Resolution Center of Duluth will recruit, train and support mediators of color, address citizen concerns about the Duluth Police Department, tackle issues such as racial profiling, and explore conflict mediation as a possible tool to decrease school suspensions and narrow the achievement gap.</t>
  </si>
  <si>
    <t>CDF serves as a partner and catalyst in developing and strengthening cooperative economies. This project will allow CDF and the Clarkfield Economic Development Authority to test cooperative development strategies in a rural setting. This approach aims to support young/expanding businesses and reduces risk of failure, create broad-based community engagement and investment, and empowers citizens to take ownership of their local economy through the disciplines of the cooperative model and the democratic control of capital.</t>
  </si>
  <si>
    <t>The Cross-Cultural Alliance of Duluth (CCAD) is a new organization seeking to build relationships between among communities of color to address racial and cultural disparities in Duluth. We are the first group of our kind in our region and are hopeful that we may play a pivotal role in building relationships and equity, if we build a strong, intentional, and respectful foundation. We need to solidify an organizational structure that allows for true cross-cultural dialogue and action. This year-long project will include training for board and elders, as well as a facilitated retreat. We also will have two focus groups for youth to build a youth advisory council.</t>
  </si>
  <si>
    <t>The mission of C4C is to build a diverse and empowered community of bicyclists. C4C seeks to specifically engage traditionally under-represented communities - including women, people of color, immigrants, and low-income community members - to ensure that the health, financial, and empowerment benefits of bicycling are shared equitably. This project will formalize and test a tool for ensuring that voices from, and needs of, communities of color are included in bicycle and transportation infrastructure projects.</t>
  </si>
  <si>
    <t>Dream of Wild Health will restore a traditional teaching - that it is a shared responsibility to ensure that everyone, especially children and elders, are well nourished. DWH is working to re-establish food sovereignty and will host a series of experiential events culminating in a community wide Indigenous Food Tasting, to educate about healthy, indigenous food systems, engaging youth in leadership and building a strong base of engaged community members.; Dream of Wild Health (DWH) is a Native-owned, Native-grown organic farm in Hugo whose mission is to promote health in the Native community by expanding knowledge of and access to healthy indigenous foods and medicines.  They are part of a groundswell movement to reclaim indigenous foods and lifeways and promote food sovereignty by working to increase food access and equity for the Native community.  DWH is growing healthy and traditional foods in response to requests from low-income community members and participants in their programs.  Their American Indian Youth Education &amp; Leadership Program organizes low income, high-risk urban Native youth to reestablish a deep, reverent connection with the earth.; Dream of Wild Health mission is to promote health in the Native American community by expanding knowledge of and access to healthy indigenous foods and medicines. DWH is part of a groundswell movement to reclaim indigenous foods and lifeways, promote food sovereignty by working to increase food access and equity within the Native community. Our Native owned 10-acre indigenous foods, organic farm located in Hugo maintains a presence in Minneapolis and St. Paul with office and programming sites. DWH has one of the largest collections of heirloom indigenous food and medicinal seeds in the Upper Midwest. Food is medicine and the traditional foods and lifeways of our ancestors restore power, health and wellbeing to our community. DWH's Native youth led programs begin decolonizing relationships and rebuilding Native connectivity to the earth.</t>
  </si>
  <si>
    <t>The city and state is not adequately responding to dangerous levels of lead poisioning among low-income children and children of color. East Side Neighborhood Development Company will create and implement their own lead abatement program and will work towards a provable reduction in lead poisoning on the East Side by eliminating government barriers to abating homes, attracting more money to fight lead poisoning, and creating a community-driven organizing model that can be exported, including their own blood testing, analysis and documentation.</t>
  </si>
  <si>
    <t>Eradicating Achievement Gap and Learning Empowerment (EAGLE) Inc. will offer cultural and langugage specific after-school courses including math, science and ESL instruction to help narrow the achievement gap for low income students and students of color in the St. Cloud area.</t>
  </si>
  <si>
    <t>Family Tree Clinic will embark on a high-touch culture change process to center racial justice and anti-oppression in its daily and long-term work. This process of culture change will be led by a multiracial and multicultural group called the Racial Justice and Anti-Oppression Committee.</t>
  </si>
  <si>
    <t>This project focuses on supporting and uplifting immigrant farmers. The Hmong American Farmers Association, in conjunction with Shared Ground, Good Acre, and the Minnesota Food Association will work together to ensure the long term sustainability and financial viability of food hubs sourced by immigrant farmers.;  HAFA is a social justice organization that is committed to advancing the economic, social and cultural prosperity of Hmong American farmers through advocacy, economic development, capacity building and research. HAFA uses an organizing approach to work with its members and other farmers in the Hmong community to access land, equipment, capital and trainings so they can improve their farming operations and lift their families out of poverty. As a member-based organization, HAFA was started by and is led by Hmong American farmers. The organization's primary short-term goal is to generate more income and self-efficacy for Hmong farming families, while its long-term goal is to build wealth and through land ownership and cooperative practices.</t>
  </si>
  <si>
    <t>Hnub Tshiab: Hmong Women Achieving Together (pronounced noo chia and meaning "new day" in the Hmong language) is a grassroots and community-based nonprofit organization founded in 1998 when a group of Hmong women leaders from around the Twin Cities gathered to address a series of violent and tragic events affecting Hmong women and girls. At first, mission of Hnub Tshiab was to end violence against Hmong women by ending sexism. In 2006, Hnub Tshiab became a nonprofit organization with a new mission- to be a catalyst for social, cultural, and institutional change to improve the lives of Hmong women. They envision a world where Hmong women and girls are valued and supported to achieve their highest potential in all of their roles. Hnub Tshiab see a society that honors the choices that Hmong women make and celebrates their ability to direct their own destinies.; Hnub Tshiab: Hmong Women Achieving Together is a catalyst for lasting cultural, institutional, and social change to improve the lives of Hmong women. Hnub Tshiab believes that there must first be awareness and acknowledgement that gender is a powerful force in shaping the lives of the entire community. They believe that all members of the community have a role in patriarchy - members, including women, become complicit through enculturation. They envision a world where Hmong women and girls are valued and supported to achieve their highest potential in all of their roles. They see a society that honors the choices that Hmong women make and celebrates their ability to direct their own destinies.</t>
  </si>
  <si>
    <t xml:space="preserve">Inquilinxs Unidxs' mission is to bring together tenants from Minneapolis' most exploitative rental properties to analyze their housing problems, to organize around those problems, and to build affordable, dignified living spaces in Minneapolis. The communities most directly impacted by slum conditions are low-income people of color, immigrants, women and disabled people. They are working towards realizing racial justice through improving the housing of the people most affected by inequitable housing costs and poor conditions, organizing a base of power to demand the changes necessary across city and state lines.; InquilinXs UnidXs Por Justicia brings together tenants from Minneapolis' most exploited rental properties to analyze their housing problems, organize around these problems, and build affordable, dignified living spaces in Minneapolis. This project will build community and leadership as renters come together to fight for improved living conditions and to advocate for changes in the City of Minneapolis' rental policies and practices. </t>
  </si>
  <si>
    <t xml:space="preserve">Jewish Community Action will build a significant base of leaders in the Jewish community to work as allies on criminal justice reform issues at the state and local levels of government. Through this project, non-partisan organizations will work together - across lines of race and faith - to advance criminal justice, host candidate forums, and get out the vote.; Jewish Community Action and Voices for Racial Justice will build a diverse, broad-based youth led network to identify issues and take action for social change. The network will consist of high school youth across race, class and religion and will work to build a leadership voice for youth communities of color in particular. In the first year, the partners will:  1) engage with, train and convene diverse youth of color organizations around the state to explore what organizing together might look like, the issues and directions of interest, as well as 2) explore interest in a legislative proposal for voter pre-registration for 16 and 17 year olds at the State Capital. </t>
  </si>
  <si>
    <t>Jordan Area Community Council (JACC) will implement a community-owned anti-violence initiative, "Take a Stand/Cease Fire" that focuses on addressing crime as a public health issue. The concept will be modeled after the Cure Violence Health Model and will include the same three components used to reverse epidemic disease outbreaks. 1) Interrupting transmission of the disease. 2) Reducing the risk of the highest risk. 3) Changing community norms.</t>
  </si>
  <si>
    <t>The Kaleo Center and MARCH (Multi-faith, Antiracist Change and Healing) will pilot their Sacred Solidarity Congregations project, an initiative to engage predominantly white congregations in confronting systemic racism and dismantling white supremacy within each faith community and in the wider world. This project is based on a belief that predominantly white faith communities can and must play a powerful and active role in addressing racism.</t>
  </si>
  <si>
    <t>This project will establish the first Karen-focused leadership development initiative in the Marshall area. Participants will develop their personal leadership skills and knowledge of American systems in order to organize their community around priority issues to make Marshall a more welcoming and inclusive home for the newly arrived Karen population.</t>
  </si>
  <si>
    <t>La Asamblea de Derechos Civiles is a statewide, faith-based organization which organizes immigrants from predominantly Latino congregations to build power and develop leadership in the community. In 2015, it will secure and expand the gains of President Obama's Executive Actions on immigration, organize for a pathway to citizenship through Congress, support driver's licenses for all, and influence decision making to secure equitable transit and housing investments for suburban Latino communities. La Asamblea de Derechos Civiles will continue to expand its base and develop leaders to organize local public actions and forums, bring community power to Washington DC and the Iowa Caucuses, and drive equitable systems and policy change.</t>
  </si>
  <si>
    <t>Men as Peacemakers will create a diverse network of Male Engagement Leaders who, in close partnership and consultation with women, will play a significant role in replacing norms and practices that reinforce, white, heterosexual, male dominance with norms and practices that embrace equity and end violence against all women and girls.</t>
  </si>
  <si>
    <t>In the summer of 2017, artists and community organizers from the Twin Cities will host the first MidWest Mixed Conference, to explore mixed and multiracial identity with visual artwork at the center. In a world that has a growing number of people who identify as mixed race, MidWest Mixed Conference sees the urgency of shining light on the diverse experiences of mixed people and families by putting forward stories that can unite and also deepen their analysis of the state of racial issues in this world.</t>
  </si>
  <si>
    <t>The Minnesota Transgender Health Coalition is committed to improving health care and the quality of health care received by Trans and gender non-conforming people through education, resources, and advocacy. This project seeks to increase the resiliency, leadership capacity and autonomy of Trans youth through weekly youth-directed drop-in space and additional Trans youth leadership curriculum development.</t>
  </si>
  <si>
    <t>As a program of Augsburg College, Minnesota Urban Debate League (MNUDL) empowers students through academic debate to become engaged learners, critical thinkers, active citizens, and advocates for themselves and their communities. This project will create culturally specific, Somali language debate opportunities for Somali students. Debate topics will be relevant and timely, such as the issue of bank remittances.</t>
  </si>
  <si>
    <t>The Minnesota Host Home Network supports the Host Home concept, in which young people in need of stable housing stay with community members who provide room in their homes and a caring presence. The Interview Project will interview youth/host pairs in urban, suburban, and rural areas and tribal nations to identify best practices, challenges, and success stories. Ultimately, the goal is provide youth experiencing homelessness with the skills they need to ask for help and maintain relationships, as well as give caring adults the tools needed to support youth experiencing homelessness.</t>
  </si>
  <si>
    <t>Neighborhoods Organizing for Change will launch statewide house parties to engage everyday people in acts of resistance and to support racial and economic justice. Parties will be grounded in political education curriculum, created by Neighborhoods Organizing for Change leaders of color and designed to educate, inform and motivate community members to organize their neighbors and to resist hateful acts and policies within their local community.; Neighborhoods Organizing for Change is a member-led, movement-based organization building power in under-resourced communities of color across the Twin Cities. Based in North Minneapolis, NOC uses community organizing to achieve measurable policy outcomes and meaningful public victories that positively impact the lives of their members and that work toward equity statewide. NOC's strength lies in the leadership of their members, and in their ability to act as an authentic organizing space for people of color from a diverse mix of ethnic identities, sexual identities, gender identities, national identities, languages, racial identities, religious identities, and experiences of diaspora.; Neighborhoods Organizing for Change is a member-led, movement-based organization building power in under-resourced communities of color across the Twin Cities. Based in North Minneapolis, NOC uses community organizing to achieve measurable policy outcomes and meaningful public victories that positively impact the lives of their members and that work toward equity statewide. NOC's strength lies in the leadership of their members, and in their ability to act as an authentic organizing space for people of color from a diverse mix of ethnic identities, sexual identities, gender identities, national identities, languages, racial identities, religious identities, and experiences of diaspora.</t>
  </si>
  <si>
    <t>Pan Asian Arts Alliance c/o Asian Media Access will create culturally-specific learning and advocacy opportunities for Southeast Asian parents to acquire the resources, knowledge, and access needed to be stronger advocates for their children. They will focus on parents with Limited English Profiency and will bring a bi-cultural lens to their work.</t>
  </si>
  <si>
    <t>Redeemer Center for Life works to ensure a vibrant community in the Harrison neighborhood of North Minneapolis. This project will bring together a cohort of neighborhood youth to create neighborhood-based income-generating opportunities, which will allow the neighborhood to benefit from community-minded business development while also allowing youth to earn income and gain job and business skills in their home community.</t>
  </si>
  <si>
    <t>RISE will create a network of Muslim women to strengthen and establish connections, build social capacity, and identify opportunities to lead change in their communities. This network will amplify the voice and power of those who are already doing meaningful work in their communities, inspire others to engage in their own lives, and take back the false narrative around women in Islam.</t>
  </si>
  <si>
    <t>Through this pilot project, RREAL and the Leech Lake Band of Ojibwe will collaborate to install the first community solar array in the nation on an American Indian reservation. Benefits from the 200kW system will flow to low-income Leech Lake band members through the existing Energy Assistance infrastructure, while creating renewable clean sources of energy.</t>
  </si>
  <si>
    <t>With the White House issuing immigration bans and orders affecting Somali people, many refugees and immigrants are experiencing greater obstacles that prevent families from re-joining one another or returning home. KALY-FM will be the up-to-the-minute information source and action navigator for Somalis living in Minnesota. KALY-FM will get information to and from community residents and enable local activists to coordinate efforts to organize and mobilize the community.</t>
  </si>
  <si>
    <t>The Somali Museum will expand their nomadic craft workshops to include a program focused on Somali traditions of growing and caring for textile plants. This project will engage youth in hands-on study of weaving skills and textile plant ecology, through close mentorship with elder teaching-artists and work with plants at a community garden plot.</t>
  </si>
  <si>
    <t>Somali Community Barwaaqo Organization will pilot and test a entrepreneurship program for New American immigrant women in Nicollet and Blue Earth counties in south central Minnesota with the goals of reducing the economic and social disparities that women face and increasing their engagement within the larger community.</t>
  </si>
  <si>
    <t>Mental health issues are disproportionately high for LGBTQ youth. Few resources exist to support parents as their children struggle with isolation, depression, self-harm and suicide. The Bridge for Youth will convene parents/caregivers of LGBTQ teens in a one-year project to expand support for families, resulting in better outcomes for youth. In PACE (Parent and Caregiver Empowerment) participants will share support, healing, parenting tips and resources. Using a "train the trainer" approach, participants will learn how to start a group in their own community. Returning home with the materials, skills and confidence to start their own peer-based support groups, PACE members will lead sustainable grass-roots change that will grow over time.</t>
  </si>
  <si>
    <t>The Food Group serves as innovative food bank dedicated to serving the hunger needs of local changing communities. This project will create an alliance of providers who will put cultural equity at the center of hunger-relief systems and organizations.</t>
  </si>
  <si>
    <t>The Power of the People Leadership Institute will strengthen their re-entry initiative, which consists of an extensive pre-release and post-release educational and leadership process. PPLI will train participants to become student teachers who help facilitate the next classes and support men as they re-integrate and become community leaders.</t>
  </si>
  <si>
    <t xml:space="preserve">The Toxic Taters Coalition - an alliance of Tribal leaders, small farmers and community members - implements grassroots organizing to fight pesticide exposure and build rural power. Its primary target, RDO, is the world's largest potato producer. Its constituents, rural Minnesotans, have been taught not to raise a fuss. Those affected (who are both Native and white) face financial and health issues. Racism is an issue.  As a multi-generational Native and non-Native group with experienced organizers, it is in a unique position to create change. The Toxic Taters Coalition envision rural communities where multinational companies do not make the rules, and instead small farms thrive, communities are healthy, and Native sovereignty is respected.; Toxic Taters seeks support to do local organizing.  We do grassroots organizing, fighting pesticides. Our main target, RDO, is the world's largest potato producer.  People fear and doubt change is possible.  Rural Minnesotans are taught "not to raise a fuss."  Those affected face health and financial impacts.  Finally, pesticides impact Native and largely White communities. Racism is an issue.   However, as a multi-generational Native and non-Native group with experienced organizers we are in a unique position to succeed. </t>
  </si>
  <si>
    <t>The University of Minnesota Libraries, which holds the Tretter Collection in GLBT Studies, has launched the Transgender Oral History Project to document the historic and contemporary transgender experience in the Upper Midwest, not only to support the transgender community but also to provide a deeper store of materials for research and reflection.</t>
  </si>
  <si>
    <t>People with disabilities face significant disparities in access to education on safe relationships, sex, and reproduction. Upstream Arts, Inc. will build a network of people with disabilities and their care providers to discuss specific needs related to sex education, healthy relationships, and violence prevention; lay the groundwork for new creative collaborative partnerships; allow for cross-learning and information sharing; and build a list of comprehensive resources and referrals, using arts-based facilitation and activities to creatively unpack these issues, and to ensure multiple avenues of participation.</t>
  </si>
  <si>
    <t>Victoria Theater Arts Center will provide opportunities for neighborhood and community members to actively resist forces such as police brutality, gentrification and under-resourcing while expanding the vision of what it means to be a community art center in a time of resistance.</t>
  </si>
  <si>
    <t>Voices for Racial Justice will lead a community research project that documents how communities of color and other marginalized communities are experiencing surveillance and predictive policing to use as a basis for organizing for reforms. Without intervention, VRJ fears that surveillance will be used to silence free speech, quash protest, and disrupt organizing efforts for justice.; Through a community-led process, Voices for Racial Justice will create the first-of-its kind racial equity report card for the City of Minneapolis.; Voices aligns grassroots community groups, primarily in communities of color, around racial and economic equity issues.  It trains organizers, creates and leads strategic campaigns with community of color organizations, and creates tools that build the power of communities of color and organizing groups.  In 2015-16, Voices will support and expand regional networks of community of color organizations, engage communities in piloting an education equity accountability strategy, create new tools for advancing justice, and further develop action strategies to engage communities of color in advancing systems change.</t>
  </si>
  <si>
    <t>Since 1992, the Welfare Rights Committee has been made up of and led by its constituency: low income women, mostly non-white, many with disabilities. It seeks to change economic, government and cultural systems that use racism, ableism &amp; sexism to push laws &amp; policies that attack us, often via cuts to welfare. The Welfare Rights Committee are not just stopping cuts; it are demanding real money. It is fighting for the first major welfare grant increase in 29 years - pushing to double the grants. In 2015, it is pushing to "Give Aid to All in Need" and getting TANF $ for TANF families. Having an income can be a life or death issue. The Welfare Rights Committee will fight for a system that lets families thrive with dignity, while changing the debate about what the priorities of this society.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</si>
</sst>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17" x14ac:knownFonts="1">
    <font>
      <sz val="11"/>
      <color theme="1"/>
      <name val="Calibri"/>
      <family val="2"/>
      <scheme val="minor"/>
    </font>
    <font>
      <sz val="11"/>
      <color rgb="FF9C0006"/>
      <name val="Calibri"/>
      <family val="2"/>
      <scheme val="minor"/>
    </font>
    <font>
      <b/>
      <sz val="11"/>
      <color theme="1"/>
      <name val="Calibri"/>
      <family val="2"/>
      <scheme val="minor"/>
    </font>
    <font>
      <sz val="8.25"/>
      <name val="Arial"/>
      <family val="2"/>
    </font>
    <font>
      <sz val="11"/>
      <name val="Calibri"/>
      <family val="2"/>
      <scheme val="minor"/>
    </font>
    <font>
      <sz val="11"/>
      <color theme="1"/>
      <name val="Calibri"/>
      <family val="2"/>
      <scheme val="minor"/>
    </font>
    <font>
      <sz val="10"/>
      <name val="Arial"/>
      <family val="2"/>
    </font>
    <font>
      <sz val="10"/>
      <color theme="1"/>
      <name val="Arial"/>
      <family val="2"/>
    </font>
    <font>
      <sz val="9"/>
      <color indexed="81"/>
      <name val="Tahoma"/>
      <family val="2"/>
    </font>
    <font>
      <b/>
      <sz val="9"/>
      <color indexed="81"/>
      <name val="Tahoma"/>
      <family val="2"/>
    </font>
    <font>
      <b/>
      <sz val="11"/>
      <color theme="3"/>
      <name val="Calibri"/>
      <family val="2"/>
      <scheme val="minor"/>
    </font>
    <font>
      <b/>
      <sz val="10"/>
      <name val="MS Sans Serif"/>
    </font>
    <font>
      <b/>
      <sz val="13"/>
      <color theme="3"/>
      <name val="Calibri"/>
      <family val="2"/>
      <scheme val="minor"/>
    </font>
    <font>
      <u/>
      <sz val="11"/>
      <color theme="10"/>
      <name val="Calibri"/>
      <family val="2"/>
      <scheme val="minor"/>
    </font>
    <font>
      <sz val="11"/>
      <color rgb="FF9C5700"/>
      <name val="Calibri"/>
      <family val="2"/>
      <scheme val="minor"/>
    </font>
    <font>
      <sz val="10"/>
      <color rgb="FF222222"/>
      <name val="Calibri"/>
      <family val="2"/>
      <scheme val="minor"/>
    </font>
    <font>
      <sz val="10"/>
      <color rgb="FF000000"/>
      <name val="Arial"/>
      <family val="2"/>
    </font>
  </fonts>
  <fills count="9">
    <fill>
      <patternFill patternType="none"/>
    </fill>
    <fill>
      <patternFill patternType="gray125"/>
    </fill>
    <fill>
      <patternFill patternType="solid">
        <fgColor rgb="FFFFC7CE"/>
      </patternFill>
    </fill>
    <fill>
      <patternFill patternType="solid">
        <fgColor theme="0"/>
        <bgColor indexed="12"/>
      </patternFill>
    </fill>
    <fill>
      <patternFill patternType="solid">
        <fgColor theme="0"/>
        <bgColor indexed="64"/>
      </patternFill>
    </fill>
    <fill>
      <patternFill patternType="solid">
        <fgColor rgb="FFFFFFCC"/>
      </patternFill>
    </fill>
    <fill>
      <patternFill patternType="solid">
        <fgColor rgb="FFFFFF00"/>
        <bgColor indexed="64"/>
      </patternFill>
    </fill>
    <fill>
      <patternFill patternType="solid">
        <fgColor theme="9"/>
        <bgColor indexed="64"/>
      </patternFill>
    </fill>
    <fill>
      <patternFill patternType="solid">
        <fgColor rgb="FFFFEB9C"/>
      </patternFill>
    </fill>
  </fills>
  <borders count="14">
    <border>
      <left/>
      <right/>
      <top/>
      <bottom/>
      <diagonal/>
    </border>
    <border>
      <left/>
      <right/>
      <top/>
      <bottom style="thick">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style="double">
        <color indexed="64"/>
      </right>
      <top/>
      <bottom/>
      <diagonal/>
    </border>
    <border>
      <left/>
      <right style="double">
        <color indexed="64"/>
      </right>
      <top/>
      <bottom style="thick">
        <color auto="1"/>
      </bottom>
      <diagonal/>
    </border>
    <border>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bottom style="thick">
        <color theme="4" tint="0.499984740745262"/>
      </bottom>
      <diagonal/>
    </border>
    <border>
      <left style="thick">
        <color rgb="FFFFFFFF"/>
      </left>
      <right style="thick">
        <color rgb="FFFFFFFF"/>
      </right>
      <top style="thick">
        <color rgb="FFFFFFFF"/>
      </top>
      <bottom/>
      <diagonal/>
    </border>
    <border>
      <left style="thick">
        <color rgb="FFFFFFFF"/>
      </left>
      <right style="thick">
        <color rgb="FFFFFFFF"/>
      </right>
      <top/>
      <bottom/>
      <diagonal/>
    </border>
    <border>
      <left style="thick">
        <color rgb="FFFFFFFF"/>
      </left>
      <right style="thick">
        <color rgb="FFFFFFFF"/>
      </right>
      <top/>
      <bottom style="thick">
        <color rgb="FFFFFFFF"/>
      </bottom>
      <diagonal/>
    </border>
  </borders>
  <cellStyleXfs count="7">
    <xf numFmtId="0" fontId="0" fillId="0" borderId="0"/>
    <xf numFmtId="0" fontId="1" fillId="2" borderId="0" applyNumberFormat="0" applyBorder="0" applyAlignment="0" applyProtection="0"/>
    <xf numFmtId="0" fontId="5" fillId="5" borderId="4" applyNumberFormat="0" applyFont="0" applyAlignment="0" applyProtection="0"/>
    <xf numFmtId="0" fontId="10" fillId="0" borderId="0" applyNumberFormat="0" applyFill="0" applyBorder="0" applyAlignment="0" applyProtection="0"/>
    <xf numFmtId="0" fontId="12" fillId="0" borderId="10" applyNumberFormat="0" applyFill="0" applyAlignment="0" applyProtection="0"/>
    <xf numFmtId="0" fontId="13" fillId="0" borderId="0" applyNumberFormat="0" applyFill="0" applyBorder="0" applyAlignment="0" applyProtection="0"/>
    <xf numFmtId="0" fontId="14" fillId="8" borderId="0" applyNumberFormat="0" applyBorder="0" applyAlignment="0" applyProtection="0"/>
  </cellStyleXfs>
  <cellXfs count="67">
    <xf numFmtId="0" fontId="0" fillId="0" borderId="0" xfId="0"/>
    <xf numFmtId="0" fontId="0" fillId="0" borderId="0" xfId="0" applyAlignment="1">
      <alignment wrapText="1"/>
    </xf>
    <xf numFmtId="0" fontId="1" fillId="2" borderId="1" xfId="1" applyBorder="1" applyAlignment="1">
      <alignment wrapText="1"/>
    </xf>
    <xf numFmtId="0" fontId="3" fillId="3" borderId="2" xfId="0" applyNumberFormat="1" applyFont="1" applyFill="1" applyBorder="1" applyAlignment="1" applyProtection="1">
      <alignment horizontal="left" vertical="center"/>
    </xf>
    <xf numFmtId="14" fontId="3" fillId="3" borderId="2" xfId="0" applyNumberFormat="1" applyFont="1" applyFill="1" applyBorder="1" applyAlignment="1" applyProtection="1">
      <alignment horizontal="left" vertical="center"/>
    </xf>
    <xf numFmtId="0" fontId="4" fillId="4" borderId="0" xfId="0" applyFont="1" applyFill="1" applyBorder="1"/>
    <xf numFmtId="0" fontId="0" fillId="0" borderId="0" xfId="0" applyBorder="1"/>
    <xf numFmtId="0" fontId="3" fillId="0" borderId="0" xfId="0" applyNumberFormat="1" applyFont="1" applyFill="1" applyBorder="1" applyAlignment="1" applyProtection="1">
      <alignment horizontal="left" vertical="top"/>
    </xf>
    <xf numFmtId="0" fontId="3" fillId="0" borderId="0" xfId="0" applyNumberFormat="1" applyFont="1" applyFill="1" applyBorder="1" applyAlignment="1" applyProtection="1">
      <alignment horizontal="right" vertical="top"/>
    </xf>
    <xf numFmtId="14" fontId="3" fillId="0" borderId="0" xfId="0" applyNumberFormat="1" applyFont="1" applyFill="1" applyBorder="1" applyAlignment="1" applyProtection="1">
      <alignment horizontal="left" vertical="top"/>
    </xf>
    <xf numFmtId="0" fontId="4" fillId="0" borderId="0" xfId="0" applyFont="1" applyBorder="1"/>
    <xf numFmtId="0" fontId="3" fillId="3" borderId="3" xfId="0" applyNumberFormat="1" applyFont="1" applyFill="1" applyBorder="1" applyAlignment="1" applyProtection="1">
      <alignment horizontal="left" vertical="center"/>
    </xf>
    <xf numFmtId="0" fontId="2" fillId="0" borderId="0" xfId="0" applyFont="1"/>
    <xf numFmtId="0" fontId="0" fillId="0" borderId="0" xfId="0" applyNumberFormat="1"/>
    <xf numFmtId="14" fontId="0" fillId="0" borderId="0" xfId="0" applyNumberFormat="1"/>
    <xf numFmtId="49" fontId="3" fillId="3" borderId="2" xfId="0" applyNumberFormat="1" applyFont="1" applyFill="1" applyBorder="1" applyAlignment="1" applyProtection="1">
      <alignment horizontal="left" vertical="center"/>
    </xf>
    <xf numFmtId="49" fontId="3" fillId="0" borderId="0" xfId="0" applyNumberFormat="1" applyFont="1" applyFill="1" applyBorder="1" applyAlignment="1" applyProtection="1">
      <alignment horizontal="right" vertical="top"/>
    </xf>
    <xf numFmtId="49" fontId="0" fillId="0" borderId="0" xfId="0" applyNumberFormat="1"/>
    <xf numFmtId="49" fontId="0" fillId="0" borderId="0" xfId="0" applyNumberFormat="1" applyAlignment="1">
      <alignment wrapText="1"/>
    </xf>
    <xf numFmtId="0" fontId="7" fillId="0" borderId="0" xfId="0" applyFont="1" applyAlignment="1">
      <alignment wrapText="1"/>
    </xf>
    <xf numFmtId="49" fontId="7" fillId="0" borderId="0" xfId="0" applyNumberFormat="1" applyFont="1" applyAlignment="1">
      <alignment wrapText="1"/>
    </xf>
    <xf numFmtId="0" fontId="7" fillId="0" borderId="0" xfId="0" applyNumberFormat="1" applyFont="1" applyAlignment="1">
      <alignment wrapText="1"/>
    </xf>
    <xf numFmtId="0" fontId="6" fillId="0" borderId="0" xfId="0" applyNumberFormat="1" applyFont="1" applyFill="1" applyBorder="1" applyAlignment="1" applyProtection="1">
      <alignment horizontal="left" vertical="top" wrapText="1"/>
    </xf>
    <xf numFmtId="0" fontId="7" fillId="0" borderId="0" xfId="0" applyFont="1"/>
    <xf numFmtId="0" fontId="7" fillId="0" borderId="0" xfId="0" applyNumberFormat="1" applyFont="1"/>
    <xf numFmtId="0" fontId="1" fillId="2" borderId="6" xfId="1" applyBorder="1" applyAlignment="1">
      <alignment wrapText="1"/>
    </xf>
    <xf numFmtId="0" fontId="0" fillId="0" borderId="5" xfId="0" applyBorder="1" applyAlignment="1">
      <alignment wrapText="1"/>
    </xf>
    <xf numFmtId="0" fontId="6" fillId="4" borderId="0" xfId="0" applyNumberFormat="1" applyFont="1" applyFill="1" applyAlignment="1">
      <alignment wrapText="1"/>
    </xf>
    <xf numFmtId="0" fontId="7" fillId="5" borderId="4" xfId="2" applyNumberFormat="1" applyFont="1" applyAlignment="1">
      <alignment wrapText="1"/>
    </xf>
    <xf numFmtId="0" fontId="0" fillId="5" borderId="4" xfId="2" applyFont="1"/>
    <xf numFmtId="0" fontId="7" fillId="5" borderId="4" xfId="2" applyFont="1" applyAlignment="1">
      <alignment wrapText="1"/>
    </xf>
    <xf numFmtId="0" fontId="2" fillId="0" borderId="7" xfId="0" applyFont="1" applyBorder="1"/>
    <xf numFmtId="0" fontId="2" fillId="0" borderId="8" xfId="0" applyFont="1" applyBorder="1"/>
    <xf numFmtId="0" fontId="0" fillId="6" borderId="5" xfId="0" applyFill="1" applyBorder="1" applyAlignment="1">
      <alignment wrapText="1"/>
    </xf>
    <xf numFmtId="0" fontId="2" fillId="0" borderId="9" xfId="0" applyFont="1" applyBorder="1"/>
    <xf numFmtId="0" fontId="10" fillId="0" borderId="0" xfId="3"/>
    <xf numFmtId="164" fontId="0" fillId="0" borderId="0" xfId="0" applyNumberFormat="1"/>
    <xf numFmtId="0" fontId="10" fillId="0" borderId="7" xfId="3" applyBorder="1"/>
    <xf numFmtId="164" fontId="0" fillId="0" borderId="0" xfId="0" applyNumberFormat="1" applyAlignment="1">
      <alignment wrapText="1"/>
    </xf>
    <xf numFmtId="0" fontId="11" fillId="0" borderId="0" xfId="0" quotePrefix="1" applyNumberFormat="1" applyFont="1"/>
    <xf numFmtId="0" fontId="0" fillId="0" borderId="0" xfId="0" quotePrefix="1" applyNumberFormat="1"/>
    <xf numFmtId="0" fontId="11" fillId="0" borderId="0" xfId="0" applyNumberFormat="1" applyFont="1"/>
    <xf numFmtId="0" fontId="0" fillId="6" borderId="0" xfId="0" applyFill="1" applyAlignment="1"/>
    <xf numFmtId="0" fontId="12" fillId="0" borderId="10" xfId="4"/>
    <xf numFmtId="0" fontId="4" fillId="7" borderId="0" xfId="0" applyFont="1" applyFill="1" applyAlignment="1">
      <alignment wrapText="1"/>
    </xf>
    <xf numFmtId="0" fontId="0" fillId="7" borderId="0" xfId="0" applyFill="1" applyAlignment="1">
      <alignment wrapText="1"/>
    </xf>
    <xf numFmtId="0" fontId="0" fillId="0" borderId="0" xfId="0" quotePrefix="1"/>
    <xf numFmtId="0" fontId="13" fillId="0" borderId="0" xfId="5" applyFont="1" applyAlignment="1">
      <alignment wrapText="1"/>
    </xf>
    <xf numFmtId="0" fontId="14" fillId="8" borderId="0" xfId="6"/>
    <xf numFmtId="0" fontId="14" fillId="8" borderId="0" xfId="6" applyAlignment="1">
      <alignment wrapText="1"/>
    </xf>
    <xf numFmtId="0" fontId="13" fillId="8" borderId="0" xfId="5" applyFill="1" applyAlignment="1">
      <alignment wrapText="1"/>
    </xf>
    <xf numFmtId="0" fontId="12" fillId="4" borderId="10" xfId="4" applyFill="1"/>
    <xf numFmtId="0" fontId="0" fillId="4" borderId="0" xfId="0" applyFill="1"/>
    <xf numFmtId="0" fontId="14" fillId="4" borderId="0" xfId="6" applyFill="1"/>
    <xf numFmtId="0" fontId="14" fillId="4" borderId="0" xfId="6" applyFill="1" applyAlignment="1">
      <alignment wrapText="1"/>
    </xf>
    <xf numFmtId="0" fontId="0" fillId="4" borderId="0" xfId="0" applyFill="1" applyAlignment="1">
      <alignment wrapText="1"/>
    </xf>
    <xf numFmtId="0" fontId="13" fillId="4" borderId="0" xfId="5" applyFill="1" applyAlignment="1">
      <alignment wrapText="1"/>
    </xf>
    <xf numFmtId="0" fontId="15" fillId="0" borderId="0" xfId="0" applyFont="1" applyAlignment="1">
      <alignment wrapText="1"/>
    </xf>
    <xf numFmtId="0" fontId="1" fillId="2" borderId="1" xfId="1" applyBorder="1" applyAlignment="1"/>
    <xf numFmtId="0" fontId="0" fillId="0" borderId="0" xfId="0" applyAlignment="1"/>
    <xf numFmtId="0" fontId="0" fillId="0" borderId="11" xfId="0" applyBorder="1" applyAlignment="1">
      <alignment wrapText="1"/>
    </xf>
    <xf numFmtId="0" fontId="0" fillId="0" borderId="12" xfId="0" applyBorder="1" applyAlignment="1">
      <alignment wrapText="1"/>
    </xf>
    <xf numFmtId="0" fontId="0" fillId="0" borderId="13" xfId="0" applyBorder="1" applyAlignment="1">
      <alignment wrapText="1"/>
    </xf>
    <xf numFmtId="0" fontId="0" fillId="0" borderId="0" xfId="0" applyNumberFormat="1" applyAlignment="1">
      <alignment wrapText="1"/>
    </xf>
    <xf numFmtId="0" fontId="16" fillId="0" borderId="0" xfId="0" applyFont="1" applyAlignment="1">
      <alignment wrapText="1"/>
    </xf>
    <xf numFmtId="49" fontId="1" fillId="2" borderId="1" xfId="1" applyNumberFormat="1" applyBorder="1" applyAlignment="1">
      <alignment wrapText="1"/>
    </xf>
    <xf numFmtId="49" fontId="0" fillId="0" borderId="0" xfId="0" applyNumberFormat="1" applyFill="1" applyAlignment="1">
      <alignment wrapText="1"/>
    </xf>
  </cellXfs>
  <cellStyles count="7">
    <cellStyle name="Bad" xfId="1" builtinId="27"/>
    <cellStyle name="Heading 2" xfId="4" builtinId="17"/>
    <cellStyle name="Heading 4" xfId="3" builtinId="19"/>
    <cellStyle name="Hyperlink" xfId="5" builtinId="8"/>
    <cellStyle name="Neutral" xfId="6" builtinId="28"/>
    <cellStyle name="Normal" xfId="0" builtinId="0"/>
    <cellStyle name="Note" xfId="2" builtinId="10"/>
  </cellStyles>
  <dxfs count="64">
    <dxf>
      <numFmt numFmtId="0" formatCode="General"/>
    </dxf>
    <dxf>
      <numFmt numFmtId="19" formatCode="m/d/yyyy"/>
    </dxf>
    <dxf>
      <numFmt numFmtId="0" formatCode="General"/>
    </dxf>
    <dxf>
      <numFmt numFmtId="0" formatCode="General"/>
    </dxf>
    <dxf>
      <numFmt numFmtId="0" formatCode="General"/>
    </dxf>
    <dxf>
      <font>
        <b/>
        <family val="2"/>
      </font>
    </dxf>
    <dxf>
      <font>
        <color rgb="FF9C0006"/>
      </font>
    </dxf>
    <dxf>
      <fill>
        <patternFill>
          <bgColor rgb="FFFF0000"/>
        </patternFill>
      </fill>
    </dxf>
    <dxf>
      <fill>
        <patternFill>
          <bgColor theme="0" tint="-0.34998626667073579"/>
        </patternFill>
      </fill>
    </dxf>
    <dxf>
      <font>
        <color rgb="FF9C0006"/>
      </font>
    </dxf>
    <dxf>
      <font>
        <color rgb="FF9C0006"/>
      </font>
    </dxf>
    <dxf>
      <font>
        <color rgb="FF9C0006"/>
      </font>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ont>
        <color rgb="FF9C0006"/>
      </font>
    </dxf>
    <dxf>
      <fill>
        <patternFill>
          <bgColor theme="0" tint="-0.34998626667073579"/>
        </patternFill>
      </fill>
    </dxf>
    <dxf>
      <font>
        <color rgb="FF9C0006"/>
      </font>
    </dxf>
    <dxf>
      <fill>
        <patternFill>
          <bgColor theme="0" tint="-0.34998626667073579"/>
        </patternFill>
      </fill>
    </dxf>
    <dxf>
      <font>
        <color rgb="FF9C0006"/>
      </font>
    </dxf>
    <dxf>
      <fill>
        <patternFill>
          <bgColor rgb="FFFF0000"/>
        </patternFill>
      </fill>
    </dxf>
    <dxf>
      <fill>
        <patternFill>
          <bgColor theme="0" tint="-0.34998626667073579"/>
        </patternFill>
      </fill>
    </dxf>
    <dxf>
      <numFmt numFmtId="0" formatCode="General"/>
    </dxf>
    <dxf>
      <numFmt numFmtId="0" formatCode="General"/>
    </dxf>
    <dxf>
      <font>
        <b/>
        <i val="0"/>
        <strike val="0"/>
        <condense val="0"/>
        <extend val="0"/>
        <outline val="0"/>
        <shadow val="0"/>
        <u val="none"/>
        <vertAlign val="baseline"/>
        <sz val="10"/>
        <color auto="1"/>
        <name val="MS Sans Serif"/>
        <scheme val="none"/>
      </font>
      <numFmt numFmtId="0" formatCode="General"/>
    </dxf>
    <dxf>
      <border outline="0">
        <top style="thin">
          <color indexed="64"/>
        </top>
      </border>
    </dxf>
    <dxf>
      <border outline="0">
        <bottom style="double">
          <color indexed="64"/>
        </bottom>
      </border>
    </dxf>
    <dxf>
      <font>
        <b/>
        <i val="0"/>
        <strike val="0"/>
        <condense val="0"/>
        <extend val="0"/>
        <outline val="0"/>
        <shadow val="0"/>
        <u val="none"/>
        <vertAlign val="baseline"/>
        <sz val="11"/>
        <color theme="1"/>
        <name val="Calibri"/>
        <family val="2"/>
        <scheme val="minor"/>
      </font>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double">
          <color indexed="64"/>
        </right>
        <top/>
        <bottom/>
        <vertical/>
        <horizontal/>
      </border>
    </dxf>
    <dxf>
      <border outline="0">
        <bottom style="medium">
          <color indexed="64"/>
        </bottom>
      </border>
    </dxf>
    <dxf>
      <font>
        <b/>
        <i val="0"/>
        <strike val="0"/>
        <condense val="0"/>
        <extend val="0"/>
        <outline val="0"/>
        <shadow val="0"/>
        <u val="none"/>
        <vertAlign val="baseline"/>
        <sz val="11"/>
        <color theme="1"/>
        <name val="Calibri"/>
        <family val="2"/>
        <scheme val="minor"/>
      </font>
    </dxf>
    <dxf>
      <fill>
        <patternFill>
          <bgColor theme="9"/>
        </patternFill>
      </fill>
    </dxf>
    <dxf>
      <fill>
        <patternFill>
          <bgColor rgb="FF00B050"/>
        </patternFill>
      </fill>
    </dxf>
    <dxf>
      <fill>
        <patternFill>
          <bgColor theme="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font>
        <b/>
        <i val="0"/>
        <strike val="0"/>
        <condense val="0"/>
        <extend val="0"/>
        <outline val="0"/>
        <shadow val="0"/>
        <u val="none"/>
        <vertAlign val="baseline"/>
        <sz val="10"/>
        <color auto="1"/>
        <name val="MS Sans Serif"/>
        <scheme val="none"/>
      </font>
      <numFmt numFmtId="0" formatCode="General"/>
    </dxf>
    <dxf>
      <border outline="0">
        <top style="thin">
          <color indexed="64"/>
        </top>
      </border>
    </dxf>
    <dxf>
      <border outline="0">
        <bottom style="double">
          <color indexed="64"/>
        </bottom>
      </border>
    </dxf>
    <dxf>
      <font>
        <b/>
        <i val="0"/>
        <strike val="0"/>
        <condense val="0"/>
        <extend val="0"/>
        <outline val="0"/>
        <shadow val="0"/>
        <u val="none"/>
        <vertAlign val="baseline"/>
        <sz val="11"/>
        <color theme="1"/>
        <name val="Calibri"/>
        <family val="2"/>
        <scheme val="minor"/>
      </font>
    </dxf>
    <dxf>
      <fill>
        <patternFill>
          <bgColor theme="9"/>
        </patternFill>
      </fill>
    </dxf>
    <dxf>
      <fill>
        <patternFill>
          <bgColor theme="9"/>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queryTables/queryTable1.xml><?xml version="1.0" encoding="utf-8"?>
<queryTable xmlns="http://schemas.openxmlformats.org/spreadsheetml/2006/main" name="ExternalData_2" connectionId="2" autoFormatId="16" applyNumberFormats="0" applyBorderFormats="0" applyFontFormats="0" applyPatternFormats="0" applyAlignmentFormats="0" applyWidthHeightFormats="0">
  <queryTableRefresh nextId="6" unboundColumnsRight="1">
    <queryTableFields count="5">
      <queryTableField id="1" name="Name" tableColumnId="1"/>
      <queryTableField id="2" name="Preferred Address Lines" tableColumnId="2"/>
      <queryTableField id="3" name="Preferred City_ State" tableColumnId="3"/>
      <queryTableField id="4" name="Constituent Date Added" tableColumnId="4"/>
      <queryTableField id="5" dataBound="0" tableColumnId="5"/>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3" name="Table64" displayName="Table64" ref="D1:D78" totalsRowShown="0" headerRowDxfId="60" headerRowBorderDxfId="59" tableBorderDxfId="58">
  <autoFilter ref="D1:D78"/>
  <tableColumns count="1">
    <tableColumn id="1" name="Column1"/>
  </tableColumns>
  <tableStyleInfo name="TableStyleMedium2" showFirstColumn="0" showLastColumn="0" showRowStripes="1" showColumnStripes="0"/>
</table>
</file>

<file path=xl/tables/table2.xml><?xml version="1.0" encoding="utf-8"?>
<table xmlns="http://schemas.openxmlformats.org/spreadsheetml/2006/main" id="4" name="Table15" displayName="Table15" ref="E1:E80" totalsRowShown="0" headerRowDxfId="57">
  <autoFilter ref="E1:E80"/>
  <tableColumns count="1">
    <tableColumn id="1" name="Participant Specific Attributes Organization Description" dataDxfId="56"/>
  </tableColumns>
  <tableStyleInfo name="TableStyleMedium2" showFirstColumn="0" showLastColumn="0" showRowStripes="1" showColumnStripes="0"/>
</table>
</file>

<file path=xl/tables/table3.xml><?xml version="1.0" encoding="utf-8"?>
<table xmlns="http://schemas.openxmlformats.org/spreadsheetml/2006/main" id="5" name="Table5" displayName="Table5" ref="A1:C98" totalsRowShown="0" headerRowDxfId="33" headerRowBorderDxfId="32">
  <autoFilter ref="A1:C98"/>
  <tableColumns count="3">
    <tableColumn id="1" name="Column1" dataDxfId="31">
      <calculatedColumnFormula>Workbook2!B2</calculatedColumnFormula>
    </tableColumn>
    <tableColumn id="2" name="Type of Grant Received" dataDxfId="30">
      <calculatedColumnFormula>Workbook2!A2</calculatedColumnFormula>
    </tableColumn>
    <tableColumn id="3" name="POC led?" dataDxfId="29">
      <calculatedColumnFormula>IF(OR(IFERROR(SEARCH("FSC", B2)&lt;&gt;0,FALSE),IFERROR(SEARCH("GP", B2)&lt;&gt;0,FALSE),IFERROR(SEARCH("SCF", B2)&lt;&gt;0,FALSE)), TRUE,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5" name="Table6" displayName="Table6" ref="D1:D78" totalsRowShown="0" headerRowDxfId="28" headerRowBorderDxfId="27" tableBorderDxfId="26">
  <autoFilter ref="D1:D78"/>
  <tableColumns count="1">
    <tableColumn id="1" name="Column1"/>
  </tableColumns>
  <tableStyleInfo name="TableStyleMedium2" showFirstColumn="0" showLastColumn="0" showRowStripes="1" showColumnStripes="0"/>
</table>
</file>

<file path=xl/tables/table5.xml><?xml version="1.0" encoding="utf-8"?>
<table xmlns="http://schemas.openxmlformats.org/spreadsheetml/2006/main" id="1" name="Table1" displayName="Table1" ref="E1:F80" totalsRowShown="0" headerRowDxfId="25">
  <autoFilter ref="E1:F80"/>
  <tableColumns count="2">
    <tableColumn id="1" name="Participant Specific Attributes Organization Description" dataDxfId="24"/>
    <tableColumn id="2" name="COMPARISON-&gt;&gt;&gt;&gt;" dataDxfId="23"/>
  </tableColumns>
  <tableStyleInfo name="TableStyleMedium2" showFirstColumn="0" showLastColumn="0" showRowStripes="1" showColumnStripes="0"/>
</table>
</file>

<file path=xl/tables/table6.xml><?xml version="1.0" encoding="utf-8"?>
<table xmlns="http://schemas.openxmlformats.org/spreadsheetml/2006/main" id="2" name="MAPPING___2" displayName="MAPPING___2" ref="A1:E219" tableType="queryTable" totalsRowShown="0" headerRowDxfId="5">
  <autoFilter ref="A1:E219"/>
  <tableColumns count="5">
    <tableColumn id="1" uniqueName="1" name="Name" queryTableFieldId="1" dataDxfId="4"/>
    <tableColumn id="2" uniqueName="2" name="Preferred Address Lines" queryTableFieldId="2" dataDxfId="3"/>
    <tableColumn id="3" uniqueName="3" name="Preferred City_ State" queryTableFieldId="3" dataDxfId="2"/>
    <tableColumn id="4" uniqueName="4" name="Constituent Date Added" queryTableFieldId="4" dataDxfId="1"/>
    <tableColumn id="5" uniqueName="5" name="Address combined" queryTableFieldId="5" dataDxfId="0">
      <calculatedColumnFormula>IF(MAPPING___2[[#This Row],[Preferred Address Lines]]&lt;&gt;"", _xlfn.CONCAT(MAPPING___2[[#This Row],[Preferred Address Lines]], ", ",MAPPING___2[[#This Row],[Preferred City_ State]]),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hyperlink" Target="https://goo.gl/forms/fjsDRsp3SmRzcctO2" TargetMode="External"/><Relationship Id="rId2" Type="http://schemas.openxmlformats.org/officeDocument/2006/relationships/hyperlink" Target="https://goo.gl/forms/4WppSgtbJnJMcXOI2" TargetMode="External"/><Relationship Id="rId1" Type="http://schemas.openxmlformats.org/officeDocument/2006/relationships/hyperlink" Target="https://goo.gl/forms/gOwV3lMURtfnKAxj2" TargetMode="External"/><Relationship Id="rId4" Type="http://schemas.openxmlformats.org/officeDocument/2006/relationships/hyperlink" Target="mailto:doug@crossculturalalliance.org"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saba@reclaim.care" TargetMode="External"/><Relationship Id="rId2" Type="http://schemas.openxmlformats.org/officeDocument/2006/relationships/hyperlink" Target="mailto:pheng@reclaim.care" TargetMode="External"/><Relationship Id="rId1" Type="http://schemas.openxmlformats.org/officeDocument/2006/relationships/hyperlink" Target="mailto:doug@crossculturalalliance.org" TargetMode="External"/><Relationship Id="rId4" Type="http://schemas.openxmlformats.org/officeDocument/2006/relationships/hyperlink" Target="mailto:Diane@dreamofwildhealth.org"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Diane@dreamofwildhealth.org" TargetMode="External"/><Relationship Id="rId3" Type="http://schemas.openxmlformats.org/officeDocument/2006/relationships/hyperlink" Target="https://goo.gl/forms/gOwV3lMURtfnKAxj2" TargetMode="External"/><Relationship Id="rId7" Type="http://schemas.openxmlformats.org/officeDocument/2006/relationships/hyperlink" Target="mailto:saba@reclaim.care" TargetMode="External"/><Relationship Id="rId2" Type="http://schemas.openxmlformats.org/officeDocument/2006/relationships/hyperlink" Target="mailto:hukun@aadevassoc.org" TargetMode="External"/><Relationship Id="rId1" Type="http://schemas.openxmlformats.org/officeDocument/2006/relationships/hyperlink" Target="mailto:gary.peterson@ananyadancetheatre.org" TargetMode="External"/><Relationship Id="rId6" Type="http://schemas.openxmlformats.org/officeDocument/2006/relationships/hyperlink" Target="mailto:pheng@reclaim.care" TargetMode="External"/><Relationship Id="rId5" Type="http://schemas.openxmlformats.org/officeDocument/2006/relationships/hyperlink" Target="https://goo.gl/forms/fjsDRsp3SmRzcctO2" TargetMode="External"/><Relationship Id="rId4" Type="http://schemas.openxmlformats.org/officeDocument/2006/relationships/hyperlink" Target="https://goo.gl/forms/4WppSgtbJnJMcXOI2" TargetMode="External"/><Relationship Id="rId9" Type="http://schemas.openxmlformats.org/officeDocument/2006/relationships/hyperlink" Target="mailto:doug@crossculturalalliance.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98"/>
  <sheetViews>
    <sheetView tabSelected="1" workbookViewId="0">
      <pane ySplit="1" topLeftCell="A94" activePane="bottomLeft" state="frozen"/>
      <selection activeCell="H42" sqref="H42"/>
      <selection pane="bottomLeft" activeCell="J95" sqref="J95"/>
    </sheetView>
  </sheetViews>
  <sheetFormatPr defaultColWidth="9.140625" defaultRowHeight="15" x14ac:dyDescent="0.25"/>
  <cols>
    <col min="1" max="1" width="38.5703125" style="26" customWidth="1"/>
    <col min="2" max="2" width="41.140625" style="1" hidden="1" customWidth="1"/>
    <col min="3" max="3" width="18.42578125" style="1" hidden="1" customWidth="1"/>
    <col min="4" max="4" width="13.28515625" style="1" hidden="1" customWidth="1"/>
    <col min="5" max="5" width="23.42578125" style="1" hidden="1" customWidth="1"/>
    <col min="6" max="6" width="15" style="1" hidden="1" customWidth="1"/>
    <col min="7" max="7" width="11" style="1" hidden="1" customWidth="1"/>
    <col min="8" max="8" width="30.7109375" style="1" hidden="1" customWidth="1"/>
    <col min="9" max="9" width="36.5703125" style="59" hidden="1" customWidth="1"/>
    <col min="10" max="10" width="174.5703125" style="18" customWidth="1"/>
    <col min="11" max="16384" width="9.140625" style="1"/>
  </cols>
  <sheetData>
    <row r="1" spans="1:10" s="2" customFormat="1" ht="45.75" thickBot="1" x14ac:dyDescent="0.3">
      <c r="A1" s="25" t="s">
        <v>2</v>
      </c>
      <c r="B1" s="2" t="s">
        <v>591</v>
      </c>
      <c r="C1" s="2" t="s">
        <v>0</v>
      </c>
      <c r="D1" s="2" t="s">
        <v>1</v>
      </c>
      <c r="E1" s="2" t="s">
        <v>14</v>
      </c>
      <c r="F1" s="2" t="s">
        <v>13</v>
      </c>
      <c r="G1" s="2" t="s">
        <v>2030</v>
      </c>
      <c r="H1" s="2" t="s">
        <v>2176</v>
      </c>
      <c r="I1" s="58" t="s">
        <v>2183</v>
      </c>
      <c r="J1" s="65" t="s">
        <v>2190</v>
      </c>
    </row>
    <row r="2" spans="1:10" ht="75.75" thickTop="1" x14ac:dyDescent="0.25">
      <c r="A2" s="60" t="str">
        <f>Workbook2!B2</f>
        <v xml:space="preserve">African Career and Education Resource, Inc (ACER, Inc) </v>
      </c>
      <c r="B2" s="1" t="str">
        <f>Workbook2!E2</f>
        <v>5701 Shingle Creek Parkway, Ste 630, Brooklyn Center, MN</v>
      </c>
      <c r="C2" s="63" t="s">
        <v>2272</v>
      </c>
      <c r="D2" s="1" t="s">
        <v>2291</v>
      </c>
      <c r="E2" s="1" t="str">
        <f>Workbook2!C2</f>
        <v>10000</v>
      </c>
      <c r="F2" s="1" t="b">
        <v>1</v>
      </c>
      <c r="G2" s="1" t="b">
        <v>1</v>
      </c>
      <c r="H2" s="1" t="str">
        <f t="shared" ref="H2:H38" si="0">MyGeocode(B2)</f>
        <v>45.0595853,-93.3154841</v>
      </c>
      <c r="I2" s="59" t="s">
        <v>2191</v>
      </c>
      <c r="J2" s="18" t="s">
        <v>2299</v>
      </c>
    </row>
    <row r="3" spans="1:10" ht="45" x14ac:dyDescent="0.25">
      <c r="A3" s="61" t="str">
        <f>Workbook2!B3</f>
        <v>Afro American Development Association</v>
      </c>
      <c r="B3" s="1" t="str">
        <f>Workbook2!E3</f>
        <v>1132 28th Ave S Suite 104, Moorhead, MN</v>
      </c>
      <c r="C3" s="18">
        <v>2016</v>
      </c>
      <c r="D3" s="1" t="s">
        <v>4</v>
      </c>
      <c r="E3" s="1" t="str">
        <f>Workbook2!C3</f>
        <v>9950</v>
      </c>
      <c r="F3" s="1" t="b">
        <v>1</v>
      </c>
      <c r="H3" s="1" t="str">
        <f t="shared" si="0"/>
        <v>46.8481399,-96.7606348</v>
      </c>
      <c r="J3" s="18" t="s">
        <v>2305</v>
      </c>
    </row>
    <row r="4" spans="1:10" ht="60" x14ac:dyDescent="0.25">
      <c r="A4" s="61" t="str">
        <f>Workbook2!B4</f>
        <v>AfroEco</v>
      </c>
      <c r="B4" s="1" t="str">
        <f>Workbook2!E4</f>
        <v>2104 Stevens Ave S, Ste 215, Minneapolis, MN</v>
      </c>
      <c r="C4" s="18">
        <v>2015</v>
      </c>
      <c r="D4" s="1" t="s">
        <v>4</v>
      </c>
      <c r="E4" s="1" t="str">
        <f>Workbook2!C4</f>
        <v>10000</v>
      </c>
      <c r="F4" s="1" t="b">
        <v>1</v>
      </c>
      <c r="G4" s="1" t="b">
        <v>1</v>
      </c>
      <c r="H4" s="1" t="str">
        <f t="shared" si="0"/>
        <v>44.9615252,-93.2756388</v>
      </c>
      <c r="I4" s="59" t="s">
        <v>2196</v>
      </c>
      <c r="J4" s="18" t="s">
        <v>2203</v>
      </c>
    </row>
    <row r="5" spans="1:10" ht="45" x14ac:dyDescent="0.25">
      <c r="A5" s="61" t="str">
        <f>Workbook2!B5</f>
        <v>All Parks Alliance for Change</v>
      </c>
      <c r="B5" s="1" t="str">
        <f>Workbook2!E5</f>
        <v>2380 Wycliff St Ste 200, St. Paul, MN</v>
      </c>
      <c r="C5" s="18">
        <v>2016</v>
      </c>
      <c r="D5" s="1" t="s">
        <v>4</v>
      </c>
      <c r="E5" s="1" t="str">
        <f>Workbook2!C5</f>
        <v>10000</v>
      </c>
      <c r="F5" s="1" t="str">
        <f>IF(OR(IFERROR(SEARCH("FSC", D5)&lt;&gt;0,FALSE),IFERROR(SEARCH("GP", D5)&lt;&gt;0,FALSE)), TRUE, "")</f>
        <v/>
      </c>
      <c r="H5" s="1" t="str">
        <f t="shared" si="0"/>
        <v>44.9699163,-93.1964877</v>
      </c>
      <c r="J5" s="18" t="s">
        <v>2204</v>
      </c>
    </row>
    <row r="6" spans="1:10" ht="30.75" thickBot="1" x14ac:dyDescent="0.3">
      <c r="A6" s="62" t="str">
        <f>Workbook2!B6</f>
        <v>Alliance for Sustainability</v>
      </c>
      <c r="B6" s="1" t="str">
        <f>Workbook2!E6</f>
        <v>2801 21st Ave S Ste 100, Minneapolis, MN</v>
      </c>
      <c r="C6" s="18">
        <v>2016</v>
      </c>
      <c r="D6" s="1" t="s">
        <v>4</v>
      </c>
      <c r="E6" s="1" t="str">
        <f>Workbook2!C6</f>
        <v>10000</v>
      </c>
      <c r="F6" s="1" t="b">
        <v>0</v>
      </c>
      <c r="G6" s="1" t="b">
        <v>1</v>
      </c>
      <c r="H6" s="1" t="str">
        <f t="shared" si="0"/>
        <v>44.9508403,-93.2415194</v>
      </c>
      <c r="I6" s="59" t="s">
        <v>2238</v>
      </c>
      <c r="J6" s="18" t="s">
        <v>2242</v>
      </c>
    </row>
    <row r="7" spans="1:10" ht="30.75" thickTop="1" x14ac:dyDescent="0.25">
      <c r="A7" s="26" t="str">
        <f>Workbook2!B7</f>
        <v>American Indian Family Center</v>
      </c>
      <c r="B7" s="1" t="str">
        <f>Workbook2!E7</f>
        <v>579 Wells St., St. Paul, MN</v>
      </c>
      <c r="C7" s="63">
        <v>2017</v>
      </c>
      <c r="D7" s="1" t="s">
        <v>4</v>
      </c>
      <c r="E7" s="1" t="str">
        <f>Workbook2!C7</f>
        <v>10000</v>
      </c>
      <c r="F7" s="1" t="str">
        <f>IF(OR(IFERROR(SEARCH("FSC", D7)&lt;&gt;0,FALSE),IFERROR(SEARCH("GP", D7)&lt;&gt;0,FALSE)), TRUE, "")</f>
        <v/>
      </c>
      <c r="H7" s="1" t="str">
        <f t="shared" si="0"/>
        <v>44.9678073,-93.0756987</v>
      </c>
      <c r="J7" s="18" t="s">
        <v>2268</v>
      </c>
    </row>
    <row r="8" spans="1:10" ht="30" x14ac:dyDescent="0.25">
      <c r="A8" s="26" t="str">
        <f>Workbook2!B8</f>
        <v>American Indian Movement Interpretive Center</v>
      </c>
      <c r="B8" s="1" t="str">
        <f>Workbook2!E8</f>
        <v>1113 East Franklin Avenue, Suite 103, Minneapolis, MN</v>
      </c>
      <c r="C8" s="18">
        <v>2016</v>
      </c>
      <c r="D8" s="1" t="s">
        <v>4</v>
      </c>
      <c r="E8" s="1" t="str">
        <f>Workbook2!C8</f>
        <v>10000</v>
      </c>
      <c r="F8" s="1" t="b">
        <v>1</v>
      </c>
      <c r="H8" s="1" t="str">
        <f t="shared" si="0"/>
        <v>44.9623845,-93.2577489</v>
      </c>
      <c r="J8" s="18" t="s">
        <v>2269</v>
      </c>
    </row>
    <row r="9" spans="1:10" ht="30" x14ac:dyDescent="0.25">
      <c r="A9" s="26" t="str">
        <f>Workbook2!B9</f>
        <v>Ananya Dance Theatre</v>
      </c>
      <c r="B9" s="1" t="str">
        <f>Workbook2!E9</f>
        <v>P. O. Box 2427 , Minneapolis, MN</v>
      </c>
      <c r="C9" s="18">
        <v>2016</v>
      </c>
      <c r="D9" s="1" t="s">
        <v>4</v>
      </c>
      <c r="E9" s="1" t="str">
        <f>Workbook2!C9</f>
        <v>10000</v>
      </c>
      <c r="F9" s="1" t="b">
        <v>1</v>
      </c>
      <c r="G9" s="1" t="b">
        <v>1</v>
      </c>
      <c r="H9" s="1" t="str">
        <f t="shared" si="0"/>
        <v>44.9777530,-93.2650108</v>
      </c>
      <c r="I9" s="59" t="s">
        <v>2188</v>
      </c>
      <c r="J9" s="18" t="s">
        <v>2205</v>
      </c>
    </row>
    <row r="10" spans="1:10" ht="90" x14ac:dyDescent="0.25">
      <c r="A10" s="26" t="str">
        <f>Workbook2!B10</f>
        <v>Appetite for Change</v>
      </c>
      <c r="B10" s="1" t="str">
        <f>Workbook2!E10</f>
        <v>1200 West Broadway Avenue #180, Minneapolis, MN</v>
      </c>
      <c r="C10" s="18" t="s">
        <v>2273</v>
      </c>
      <c r="D10" s="1" t="s">
        <v>2285</v>
      </c>
      <c r="E10" s="1" t="str">
        <f>Workbook2!C10</f>
        <v>10000; 10000</v>
      </c>
      <c r="F10" s="1" t="s">
        <v>2121</v>
      </c>
      <c r="H10" s="1" t="str">
        <f t="shared" si="0"/>
        <v>44.9993937,-93.2959734</v>
      </c>
      <c r="J10" s="18" t="s">
        <v>2267</v>
      </c>
    </row>
    <row r="11" spans="1:10" ht="135" x14ac:dyDescent="0.25">
      <c r="A11" s="26" t="str">
        <f>Workbook2!B11</f>
        <v>Asian American Organizing Project</v>
      </c>
      <c r="B11" s="1" t="str">
        <f>Workbook2!E11</f>
        <v>2214 Larry Ho Drive, Saint Paul, MN</v>
      </c>
      <c r="C11" s="18" t="s">
        <v>2274</v>
      </c>
      <c r="D11" s="1" t="s">
        <v>2286</v>
      </c>
      <c r="E11" s="1" t="str">
        <f>Workbook2!C11</f>
        <v>250; 10000; 10000</v>
      </c>
      <c r="F11" s="1" t="b">
        <f>IF(OR(IFERROR(SEARCH("FSC", D11)&lt;&gt;0,FALSE),IFERROR(SEARCH("GP", D11)&lt;&gt;0,FALSE)), TRUE, "")</f>
        <v>1</v>
      </c>
      <c r="G11" s="1" t="b">
        <v>1</v>
      </c>
      <c r="H11" s="1" t="str">
        <f t="shared" si="0"/>
        <v>44.9435007,-93.0071316</v>
      </c>
      <c r="I11" s="59" t="s">
        <v>2202</v>
      </c>
      <c r="J11" s="18" t="s">
        <v>2206</v>
      </c>
    </row>
    <row r="12" spans="1:10" ht="30" x14ac:dyDescent="0.25">
      <c r="A12" s="26" t="str">
        <f>Workbook2!B12</f>
        <v>Asian Economic Development Association</v>
      </c>
      <c r="B12" s="1" t="str">
        <f>Workbook2!E12</f>
        <v>1821 University Avenue West, S-292, Saint Paul, MN</v>
      </c>
      <c r="C12" s="18">
        <v>2016</v>
      </c>
      <c r="D12" s="1" t="s">
        <v>4</v>
      </c>
      <c r="E12" s="1" t="str">
        <f>Workbook2!C12</f>
        <v>10000</v>
      </c>
      <c r="F12" s="1" t="b">
        <v>1</v>
      </c>
      <c r="H12" s="1" t="str">
        <f t="shared" si="0"/>
        <v>44.9568979,-93.1763696</v>
      </c>
      <c r="J12" s="18" t="s">
        <v>2254</v>
      </c>
    </row>
    <row r="13" spans="1:10" ht="30" x14ac:dyDescent="0.25">
      <c r="A13" s="26" t="str">
        <f>Workbook2!B13</f>
        <v>Autism Society of Minnesota</v>
      </c>
      <c r="B13" s="1" t="str">
        <f>Workbook2!E13</f>
        <v>2380 Wycliff Street, #102, Saint Paul, MN</v>
      </c>
      <c r="C13" s="18">
        <v>2016</v>
      </c>
      <c r="D13" s="1" t="s">
        <v>4</v>
      </c>
      <c r="E13" s="1" t="str">
        <f>Workbook2!C13</f>
        <v>10000</v>
      </c>
      <c r="F13" s="1" t="str">
        <f>IF(OR(IFERROR(SEARCH("FSC", D13)&lt;&gt;0,FALSE),IFERROR(SEARCH("GP", D13)&lt;&gt;0,FALSE)), TRUE, "")</f>
        <v/>
      </c>
      <c r="G13" s="1" t="b">
        <v>1</v>
      </c>
      <c r="H13" s="1" t="str">
        <f t="shared" si="0"/>
        <v>44.9699163,-93.1964877</v>
      </c>
      <c r="I13" s="59" t="s">
        <v>2188</v>
      </c>
      <c r="J13" s="18" t="s">
        <v>2207</v>
      </c>
    </row>
    <row r="14" spans="1:10" x14ac:dyDescent="0.25">
      <c r="A14" s="26" t="str">
        <f>Workbook2!B14</f>
        <v>Bdote Learning Center</v>
      </c>
      <c r="B14" s="1" t="str">
        <f>Workbook2!E14</f>
        <v>3216 East 29th Street, Minneapolis, MN</v>
      </c>
      <c r="C14" s="18">
        <v>2016</v>
      </c>
      <c r="D14" s="1" t="s">
        <v>4</v>
      </c>
      <c r="E14" s="1" t="str">
        <f>Workbook2!C14</f>
        <v>10000</v>
      </c>
      <c r="F14" s="1" t="str">
        <f>IF(OR(IFERROR(SEARCH("FSC", D14)&lt;&gt;0,FALSE),IFERROR(SEARCH("GP", D14)&lt;&gt;0,FALSE)), TRUE, "")</f>
        <v/>
      </c>
      <c r="H14" s="1" t="str">
        <f t="shared" si="0"/>
        <v>44.9504141,-93.2250177</v>
      </c>
      <c r="J14" s="18" t="s">
        <v>2208</v>
      </c>
    </row>
    <row r="15" spans="1:10" ht="30" x14ac:dyDescent="0.25">
      <c r="A15" s="26" t="str">
        <f>Workbook2!B15</f>
        <v>Bemidji Area Indian Center</v>
      </c>
      <c r="B15" s="1" t="str">
        <f>Workbook2!E15</f>
        <v>303 Railroad Street SW, Bemidji, MN</v>
      </c>
      <c r="C15" s="18">
        <v>2016</v>
      </c>
      <c r="D15" s="1" t="s">
        <v>4</v>
      </c>
      <c r="E15" s="1" t="str">
        <f>Workbook2!C15</f>
        <v>9260</v>
      </c>
      <c r="F15" s="1" t="str">
        <f>IF(OR(IFERROR(SEARCH("FSC", D15)&lt;&gt;0,FALSE),IFERROR(SEARCH("GP", D15)&lt;&gt;0,FALSE)), TRUE, "")</f>
        <v/>
      </c>
      <c r="H15" s="1" t="str">
        <f t="shared" si="0"/>
        <v>47.4666622,-94.8834070</v>
      </c>
      <c r="J15" s="18" t="s">
        <v>2243</v>
      </c>
    </row>
    <row r="16" spans="1:10" ht="30" x14ac:dyDescent="0.25">
      <c r="A16" s="26" t="str">
        <f>Workbook2!B16</f>
        <v>Bii Gii Wiin CDLF</v>
      </c>
      <c r="B16" s="1" t="str">
        <f>Workbook2!E16</f>
        <v>1113 East Franklin Avenue, Minneapolis, MN</v>
      </c>
      <c r="C16" s="18">
        <v>2016</v>
      </c>
      <c r="D16" s="1" t="s">
        <v>4</v>
      </c>
      <c r="E16" s="1" t="str">
        <f>Workbook2!C16</f>
        <v>10000</v>
      </c>
      <c r="F16" s="1" t="b">
        <v>1</v>
      </c>
      <c r="G16" s="1" t="b">
        <v>1</v>
      </c>
      <c r="H16" s="1" t="str">
        <f t="shared" si="0"/>
        <v>44.9623845,-93.2577489</v>
      </c>
      <c r="I16" s="59" t="s">
        <v>2184</v>
      </c>
      <c r="J16" s="18" t="s">
        <v>2270</v>
      </c>
    </row>
    <row r="17" spans="1:10" ht="45" x14ac:dyDescent="0.25">
      <c r="A17" s="26" t="str">
        <f>Workbook2!B17</f>
        <v>Black Lives Matter Minneapolis</v>
      </c>
      <c r="B17" s="1" t="str">
        <f>Workbook2!E17</f>
        <v>3032 10th Ave. South, Minneapolis, MN</v>
      </c>
      <c r="C17" s="18" t="s">
        <v>2275</v>
      </c>
      <c r="D17" s="1" t="s">
        <v>2287</v>
      </c>
      <c r="E17" s="1" t="str">
        <f>Workbook2!C17</f>
        <v>42963; 10000; 250; 10000</v>
      </c>
      <c r="F17" s="1" t="b">
        <v>1</v>
      </c>
      <c r="G17" s="1" t="b">
        <v>1</v>
      </c>
      <c r="H17" s="1" t="str">
        <f t="shared" si="0"/>
        <v>44.9472855,-93.2604010</v>
      </c>
      <c r="I17" s="59" t="s">
        <v>2188</v>
      </c>
      <c r="J17" s="18" t="s">
        <v>2271</v>
      </c>
    </row>
    <row r="18" spans="1:10" ht="60" x14ac:dyDescent="0.25">
      <c r="A18" s="26" t="str">
        <f>Workbook2!B18</f>
        <v>CAIR-Minnesota, Inc. (Council on American Islamic Relations)</v>
      </c>
      <c r="B18" s="1" t="str">
        <f>Workbook2!E18</f>
        <v>2511 East Franklin Avenue, Suite 100, Minneapolis, MN</v>
      </c>
      <c r="C18" s="63" t="s">
        <v>2273</v>
      </c>
      <c r="D18" s="1" t="s">
        <v>2285</v>
      </c>
      <c r="E18" s="1" t="str">
        <f>Workbook2!C18</f>
        <v>10000; 7500</v>
      </c>
      <c r="F18" s="45" t="b">
        <v>1</v>
      </c>
      <c r="G18" s="1" t="b">
        <v>1</v>
      </c>
      <c r="H18" s="1" t="str">
        <f t="shared" si="0"/>
        <v>44.9624836,-93.2356943</v>
      </c>
      <c r="I18" s="59" t="s">
        <v>2198</v>
      </c>
      <c r="J18" s="18" t="s">
        <v>2306</v>
      </c>
    </row>
    <row r="19" spans="1:10" ht="30" x14ac:dyDescent="0.25">
      <c r="A19" s="26" t="str">
        <f>Workbook2!B19</f>
        <v>Center for Earth Energy and Democracy</v>
      </c>
      <c r="B19" s="1" t="str">
        <f>Workbook2!E19</f>
        <v>2021 East Hennepin Avenue, Ste 155, Minneapolis, MN</v>
      </c>
      <c r="C19" s="18">
        <v>2015</v>
      </c>
      <c r="D19" s="1" t="s">
        <v>4</v>
      </c>
      <c r="E19" s="1" t="str">
        <f>Workbook2!C19</f>
        <v>10000</v>
      </c>
      <c r="F19" s="1" t="b">
        <v>1</v>
      </c>
      <c r="G19" s="1" t="b">
        <v>1</v>
      </c>
      <c r="H19" s="1" t="str">
        <f t="shared" si="0"/>
        <v>44.9919373,-93.2237088</v>
      </c>
      <c r="I19" s="59" t="s">
        <v>2188</v>
      </c>
      <c r="J19" s="18" t="s">
        <v>2266</v>
      </c>
    </row>
    <row r="20" spans="1:10" ht="45" x14ac:dyDescent="0.25">
      <c r="A20" s="26" t="str">
        <f>Workbook2!B20</f>
        <v>Centro Campesino</v>
      </c>
      <c r="B20" s="1" t="str">
        <f>Workbook2!E20</f>
        <v>216 North Oak Avenue, Owatonna, MN</v>
      </c>
      <c r="C20" s="18">
        <v>2015</v>
      </c>
      <c r="D20" s="1" t="s">
        <v>4</v>
      </c>
      <c r="E20" s="1" t="str">
        <f>Workbook2!C20</f>
        <v>10000</v>
      </c>
      <c r="F20" s="1" t="b">
        <v>1</v>
      </c>
      <c r="G20" s="1" t="b">
        <v>1</v>
      </c>
      <c r="H20" s="1" t="str">
        <f t="shared" si="0"/>
        <v>44.0863566,-93.2288463</v>
      </c>
      <c r="I20" s="59" t="s">
        <v>2237</v>
      </c>
      <c r="J20" s="18" t="s">
        <v>2307</v>
      </c>
    </row>
    <row r="21" spans="1:10" ht="210" x14ac:dyDescent="0.25">
      <c r="A21" s="26" t="str">
        <f>Workbook2!B21</f>
        <v>Centro de Trabajadores Unidos en la Lucha</v>
      </c>
      <c r="B21" s="1" t="str">
        <f>Workbook2!E21</f>
        <v>3715 Chicago Avenue, Minneapolis, MN</v>
      </c>
      <c r="C21" s="18" t="s">
        <v>2300</v>
      </c>
      <c r="D21" s="1" t="s">
        <v>2301</v>
      </c>
      <c r="E21" s="1" t="str">
        <f>Workbook2!C21</f>
        <v>10000; 10000; 10000; 10000; 10000</v>
      </c>
      <c r="F21" s="1" t="b">
        <f>IF(OR(IFERROR(SEARCH("FSC", D21)&lt;&gt;0,FALSE),IFERROR(SEARCH("GP", D21)&lt;&gt;0,FALSE)), TRUE, "")</f>
        <v>1</v>
      </c>
      <c r="G21" s="1" t="b">
        <v>1</v>
      </c>
      <c r="H21" s="1" t="str">
        <f t="shared" si="0"/>
        <v>44.9354778,-93.2621420</v>
      </c>
      <c r="I21" s="59" t="s">
        <v>2188</v>
      </c>
      <c r="J21" s="18" t="s">
        <v>2308</v>
      </c>
    </row>
    <row r="22" spans="1:10" ht="60" x14ac:dyDescent="0.25">
      <c r="A22" s="26" t="str">
        <f>Workbook2!B22</f>
        <v>CHUM</v>
      </c>
      <c r="B22" s="1" t="str">
        <f>Workbook2!E22</f>
        <v>102 West 2nd Street, Duluth, MN</v>
      </c>
      <c r="C22" s="18">
        <v>2015</v>
      </c>
      <c r="D22" s="1" t="s">
        <v>4</v>
      </c>
      <c r="E22" s="1" t="str">
        <f>Workbook2!C22</f>
        <v>10000</v>
      </c>
      <c r="F22" s="1" t="b">
        <v>0</v>
      </c>
      <c r="G22" s="1" t="b">
        <v>1</v>
      </c>
      <c r="H22" s="1" t="str">
        <f t="shared" si="0"/>
        <v>46.7869408,-92.1015942</v>
      </c>
      <c r="I22" s="19" t="s">
        <v>2255</v>
      </c>
      <c r="J22" s="18" t="s">
        <v>2309</v>
      </c>
    </row>
    <row r="23" spans="1:10" ht="45" x14ac:dyDescent="0.25">
      <c r="A23" s="26" t="str">
        <f>Workbook2!B23</f>
        <v>Community Artist Leadership Initiative</v>
      </c>
      <c r="B23" s="1" t="str">
        <f>Workbook2!E23</f>
        <v>275 4th Street E, Ste 482, St. Paul, MN</v>
      </c>
      <c r="C23" s="18">
        <v>2015</v>
      </c>
      <c r="D23" s="1" t="s">
        <v>4</v>
      </c>
      <c r="E23" s="1" t="str">
        <f>Workbook2!C23</f>
        <v>10000</v>
      </c>
      <c r="F23" s="1" t="str">
        <f>IF(OR(IFERROR(SEARCH("FSC", D23)&lt;&gt;0,FALSE),IFERROR(SEARCH("GP", D23)&lt;&gt;0,FALSE)), TRUE, "")</f>
        <v/>
      </c>
      <c r="H23" s="1" t="str">
        <f t="shared" si="0"/>
        <v>44.9491289,-93.0855473</v>
      </c>
      <c r="J23" s="18" t="s">
        <v>2244</v>
      </c>
    </row>
    <row r="24" spans="1:10" ht="30" x14ac:dyDescent="0.25">
      <c r="A24" s="26" t="str">
        <f>Workbook2!B24</f>
        <v>Community Stabilization Project</v>
      </c>
      <c r="B24" s="1" t="str">
        <f>Workbook2!E24</f>
        <v>501 N Dale St, Ste 203, St. Paul, MN</v>
      </c>
      <c r="C24" s="18">
        <v>2016</v>
      </c>
      <c r="D24" s="1" t="s">
        <v>4</v>
      </c>
      <c r="E24" s="1" t="str">
        <f>Workbook2!C24</f>
        <v>10000</v>
      </c>
      <c r="F24" s="1" t="b">
        <v>1</v>
      </c>
      <c r="G24" s="1" t="b">
        <v>1</v>
      </c>
      <c r="H24" s="1" t="str">
        <f t="shared" si="0"/>
        <v>44.9563200,-93.1266360</v>
      </c>
      <c r="I24" s="59" t="s">
        <v>2239</v>
      </c>
      <c r="J24" s="18" t="s">
        <v>2256</v>
      </c>
    </row>
    <row r="25" spans="1:10" ht="64.5" x14ac:dyDescent="0.25">
      <c r="A25" s="26" t="str">
        <f>Workbook2!B25</f>
        <v>Conflict Resolution Center</v>
      </c>
      <c r="B25" s="1" t="str">
        <f>Workbook2!E25</f>
        <v>2101 Hennepin Ave S, Minneapolis, MN</v>
      </c>
      <c r="C25" s="18">
        <v>2015</v>
      </c>
      <c r="D25" s="1" t="s">
        <v>4</v>
      </c>
      <c r="E25" s="1" t="str">
        <f>Workbook2!C25</f>
        <v>10000</v>
      </c>
      <c r="F25" s="1" t="b">
        <v>0</v>
      </c>
      <c r="G25" s="1" t="b">
        <v>1</v>
      </c>
      <c r="H25" s="1" t="str">
        <f t="shared" si="0"/>
        <v>44.9619581,-93.2919622</v>
      </c>
      <c r="I25" s="19" t="s">
        <v>2257</v>
      </c>
      <c r="J25" s="18" t="s">
        <v>2310</v>
      </c>
    </row>
    <row r="26" spans="1:10" ht="45" x14ac:dyDescent="0.25">
      <c r="A26" s="26" t="str">
        <f>Workbook2!B26</f>
        <v>Cooperative Development Funds of CDS</v>
      </c>
      <c r="B26" s="1" t="str">
        <f>Workbook2!E26</f>
        <v>145 University Avenue West, Suite 145, Saint Paul, MN</v>
      </c>
      <c r="C26" s="18">
        <v>2016</v>
      </c>
      <c r="D26" s="1" t="s">
        <v>4</v>
      </c>
      <c r="E26" s="1" t="str">
        <f>Workbook2!C26</f>
        <v>10000</v>
      </c>
      <c r="F26" s="1" t="b">
        <v>0</v>
      </c>
      <c r="G26" s="1" t="b">
        <v>1</v>
      </c>
      <c r="H26" s="1" t="str">
        <f t="shared" si="0"/>
        <v>44.9561026,-93.1065086</v>
      </c>
      <c r="I26" s="59" t="s">
        <v>2184</v>
      </c>
      <c r="J26" s="18" t="s">
        <v>2311</v>
      </c>
    </row>
    <row r="27" spans="1:10" ht="60" x14ac:dyDescent="0.25">
      <c r="A27" s="26" t="str">
        <f>Workbook2!B27</f>
        <v>Cross Cultural Alliance of Duluth</v>
      </c>
      <c r="B27" s="1" t="str">
        <f>Workbook2!E27</f>
        <v>24 N. 21st Ave W, Duluth, MN</v>
      </c>
      <c r="C27" s="18">
        <v>2015</v>
      </c>
      <c r="D27" s="1" t="s">
        <v>4</v>
      </c>
      <c r="E27" s="1" t="str">
        <f>Workbook2!C27</f>
        <v>4500</v>
      </c>
      <c r="F27" s="1" t="b">
        <v>1</v>
      </c>
      <c r="G27" s="1" t="b">
        <v>1</v>
      </c>
      <c r="H27" s="1" t="str">
        <f t="shared" si="0"/>
        <v>46.7675471,-92.1249613</v>
      </c>
      <c r="I27" s="59" t="s">
        <v>2255</v>
      </c>
      <c r="J27" s="18" t="s">
        <v>2312</v>
      </c>
    </row>
    <row r="28" spans="1:10" ht="45" x14ac:dyDescent="0.25">
      <c r="A28" s="26" t="str">
        <f>Workbook2!B28</f>
        <v>Cycles for Change</v>
      </c>
      <c r="B28" s="1" t="str">
        <f>Workbook2!E28</f>
        <v>712 University Ave W, St. Paul, MN</v>
      </c>
      <c r="C28" s="18">
        <v>2016</v>
      </c>
      <c r="D28" s="1" t="s">
        <v>4</v>
      </c>
      <c r="E28" s="1" t="str">
        <f>Workbook2!C28</f>
        <v>10000</v>
      </c>
      <c r="F28" s="1" t="b">
        <v>1</v>
      </c>
      <c r="G28" s="1" t="b">
        <v>1</v>
      </c>
      <c r="H28" s="1" t="str">
        <f t="shared" si="0"/>
        <v>44.9554151,-93.1304285</v>
      </c>
      <c r="I28" s="19" t="s">
        <v>2188</v>
      </c>
      <c r="J28" s="18" t="s">
        <v>2313</v>
      </c>
    </row>
    <row r="29" spans="1:10" ht="120" x14ac:dyDescent="0.25">
      <c r="A29" s="26" t="str">
        <f>Workbook2!B29</f>
        <v>Dakota Wicohan</v>
      </c>
      <c r="B29" s="1" t="str">
        <f>Workbook2!E29</f>
        <v>230 West 2nd Street, P.O. Box 2, Morton, MN</v>
      </c>
      <c r="C29" s="18" t="s">
        <v>2276</v>
      </c>
      <c r="D29" s="1" t="s">
        <v>2288</v>
      </c>
      <c r="E29" s="1" t="str">
        <f>Workbook2!C29</f>
        <v>10000; 10000; 10000</v>
      </c>
      <c r="F29" s="1" t="b">
        <f>IF(OR(IFERROR(SEARCH("FSC", D29)&lt;&gt;0,FALSE),IFERROR(SEARCH("GP", D29)&lt;&gt;0,FALSE)), TRUE, "")</f>
        <v>1</v>
      </c>
      <c r="G29" s="1" t="b">
        <v>1</v>
      </c>
      <c r="H29" s="1" t="str">
        <f t="shared" si="0"/>
        <v>44.5513051,-94.9849077</v>
      </c>
      <c r="I29" s="59" t="s">
        <v>2193</v>
      </c>
      <c r="J29" s="18" t="s">
        <v>2253</v>
      </c>
    </row>
    <row r="30" spans="1:10" ht="45" x14ac:dyDescent="0.25">
      <c r="A30" s="26" t="str">
        <f>Workbook2!B30</f>
        <v>Defend Glendale Campaign</v>
      </c>
      <c r="B30" s="1" t="str">
        <f>Workbook2!E30</f>
        <v>PO Box 14616, Minneapolis, MN</v>
      </c>
      <c r="C30" s="18">
        <v>2016</v>
      </c>
      <c r="D30" s="1" t="s">
        <v>4</v>
      </c>
      <c r="E30" s="1" t="str">
        <f>Workbook2!C30</f>
        <v>10000</v>
      </c>
      <c r="F30" s="1" t="b">
        <v>1</v>
      </c>
      <c r="G30" s="1" t="b">
        <v>1</v>
      </c>
      <c r="H30" s="1" t="str">
        <f t="shared" si="0"/>
        <v>44.9777530,-93.2650108</v>
      </c>
      <c r="I30" s="19" t="s">
        <v>2188</v>
      </c>
      <c r="J30" s="18" t="s">
        <v>2209</v>
      </c>
    </row>
    <row r="31" spans="1:10" ht="45" x14ac:dyDescent="0.25">
      <c r="A31" s="26" t="str">
        <f>Workbook2!B31</f>
        <v>District Councils Collaborative of St. Paul and Minneapolis</v>
      </c>
      <c r="B31" s="1" t="str">
        <f>Workbook2!E31</f>
        <v>25 6th Street W, St. Paul, MN</v>
      </c>
      <c r="C31" s="18">
        <v>2015</v>
      </c>
      <c r="D31" s="1" t="s">
        <v>4</v>
      </c>
      <c r="E31" s="1" t="str">
        <f>Workbook2!C31</f>
        <v>10000</v>
      </c>
      <c r="F31" s="1" t="str">
        <f>IF(OR(IFERROR(SEARCH("FSC", D31)&lt;&gt;0,FALSE),IFERROR(SEARCH("GP", D31)&lt;&gt;0,FALSE)), TRUE, "")</f>
        <v/>
      </c>
      <c r="H31" s="1" t="str">
        <f t="shared" si="0"/>
        <v>44.9462788,-93.0962782</v>
      </c>
      <c r="J31" s="18" t="s">
        <v>2245</v>
      </c>
    </row>
    <row r="32" spans="1:10" ht="180" x14ac:dyDescent="0.25">
      <c r="A32" s="26" t="str">
        <f>Workbook2!B32</f>
        <v>Dream of Wild Health</v>
      </c>
      <c r="B32" s="1" t="str">
        <f>Workbook2!E32</f>
        <v>1308 Franklin Ave Suite 203, Minneapolis, MN</v>
      </c>
      <c r="C32" s="18" t="s">
        <v>2274</v>
      </c>
      <c r="D32" s="1" t="s">
        <v>2289</v>
      </c>
      <c r="E32" s="1" t="str">
        <f>Workbook2!C32</f>
        <v>10000; 10000; 10000</v>
      </c>
      <c r="F32" s="1" t="b">
        <f>IF(OR(IFERROR(SEARCH("FSC", D32)&lt;&gt;0,FALSE),IFERROR(SEARCH("GP", D32)&lt;&gt;0,FALSE)), TRUE, "")</f>
        <v>1</v>
      </c>
      <c r="G32" s="1" t="b">
        <v>1</v>
      </c>
      <c r="H32" s="1" t="str">
        <f t="shared" si="0"/>
        <v>44.9629570,-93.2563997</v>
      </c>
      <c r="I32" s="19" t="s">
        <v>2188</v>
      </c>
      <c r="J32" s="18" t="s">
        <v>2314</v>
      </c>
    </row>
    <row r="33" spans="1:10" ht="45" x14ac:dyDescent="0.25">
      <c r="A33" s="26" t="str">
        <f>Workbook2!B33</f>
        <v>East Side Neighborhood Development Company</v>
      </c>
      <c r="B33" s="1" t="str">
        <f>Workbook2!E33</f>
        <v>965 Payne, St. Paul, MN</v>
      </c>
      <c r="C33" s="18">
        <v>2017</v>
      </c>
      <c r="D33" s="1" t="s">
        <v>4</v>
      </c>
      <c r="E33" s="1" t="str">
        <f>Workbook2!C33</f>
        <v>10000</v>
      </c>
      <c r="F33" s="1" t="b">
        <v>1</v>
      </c>
      <c r="G33" s="1" t="b">
        <v>1</v>
      </c>
      <c r="H33" s="1" t="str">
        <f t="shared" si="0"/>
        <v>44.9704098,-93.0738163</v>
      </c>
      <c r="I33" s="59" t="s">
        <v>2192</v>
      </c>
      <c r="J33" s="18" t="s">
        <v>2315</v>
      </c>
    </row>
    <row r="34" spans="1:10" ht="30" x14ac:dyDescent="0.25">
      <c r="A34" s="26" t="str">
        <f>Workbook2!B34</f>
        <v>Eradicating Achievement Gap &amp; Learning Empowerment, Inc.</v>
      </c>
      <c r="B34" s="1" t="str">
        <f>Workbook2!E34</f>
        <v>72 10TH AVE S, Waite Park, Minnesota</v>
      </c>
      <c r="C34" s="18">
        <v>2015</v>
      </c>
      <c r="D34" s="1" t="s">
        <v>4</v>
      </c>
      <c r="E34" s="1" t="str">
        <f>Workbook2!C34</f>
        <v>10000</v>
      </c>
      <c r="F34" s="1" t="b">
        <v>1</v>
      </c>
      <c r="G34" s="1" t="b">
        <v>1</v>
      </c>
      <c r="H34" s="1" t="str">
        <f t="shared" si="0"/>
        <v>45.5521330,-94.2291900</v>
      </c>
      <c r="I34" s="19" t="s">
        <v>2194</v>
      </c>
      <c r="J34" s="18" t="s">
        <v>2316</v>
      </c>
    </row>
    <row r="35" spans="1:10" ht="30" x14ac:dyDescent="0.25">
      <c r="A35" s="26" t="str">
        <f>Workbook2!B35</f>
        <v>Family Tree, Inc</v>
      </c>
      <c r="B35" s="1" t="str">
        <f>Workbook2!E35</f>
        <v>1619 Dayton Avenue, Suite 205, Saint Paul, MN</v>
      </c>
      <c r="C35" s="18">
        <v>2016</v>
      </c>
      <c r="D35" s="1" t="s">
        <v>4</v>
      </c>
      <c r="E35" s="1" t="str">
        <f>Workbook2!C35</f>
        <v>7000</v>
      </c>
      <c r="F35" s="1" t="b">
        <v>0</v>
      </c>
      <c r="G35" s="1" t="b">
        <v>1</v>
      </c>
      <c r="H35" s="1" t="str">
        <f t="shared" si="0"/>
        <v>44.9478526,-93.1683602</v>
      </c>
      <c r="I35" s="19" t="s">
        <v>2184</v>
      </c>
      <c r="J35" s="18" t="s">
        <v>2317</v>
      </c>
    </row>
    <row r="36" spans="1:10" ht="30" x14ac:dyDescent="0.25">
      <c r="A36" s="26" t="str">
        <f>Workbook2!B87</f>
        <v>Frogtown Neighborhood Association</v>
      </c>
      <c r="B36" s="1" t="str">
        <f>Workbook2!E87</f>
        <v>501 north dale, St paul, MN</v>
      </c>
      <c r="C36" s="18">
        <v>2016</v>
      </c>
      <c r="D36" s="1" t="s">
        <v>4</v>
      </c>
      <c r="E36" s="1" t="str">
        <f>Workbook2!C87</f>
        <v>10000</v>
      </c>
      <c r="F36" s="1" t="b">
        <v>1</v>
      </c>
      <c r="G36" s="1" t="b">
        <v>1</v>
      </c>
      <c r="H36" s="1" t="str">
        <f t="shared" si="0"/>
        <v>44.9563200,-93.1266360</v>
      </c>
      <c r="I36" s="19" t="s">
        <v>2192</v>
      </c>
      <c r="J36" s="18" t="s">
        <v>2210</v>
      </c>
    </row>
    <row r="37" spans="1:10" ht="195" x14ac:dyDescent="0.25">
      <c r="A37" s="26" t="str">
        <f>Workbook2!B36</f>
        <v>Greater Minnesota Worker Center</v>
      </c>
      <c r="B37" s="1" t="str">
        <f>Workbook2!E36</f>
        <v>2719 W Division St Ste 122, St Cloud, MN</v>
      </c>
      <c r="C37" s="18" t="s">
        <v>2277</v>
      </c>
      <c r="D37" s="1" t="s">
        <v>2290</v>
      </c>
      <c r="E37" s="1" t="str">
        <f>Workbook2!C36</f>
        <v>250; 10000; 10000; 10000</v>
      </c>
      <c r="F37" s="1" t="b">
        <f>IF(OR(IFERROR(SEARCH("FSC", D37)&lt;&gt;0,FALSE),IFERROR(SEARCH("GP", D37)&lt;&gt;0,FALSE)), TRUE, "")</f>
        <v>1</v>
      </c>
      <c r="G37" s="1" t="b">
        <v>1</v>
      </c>
      <c r="H37" s="1" t="str">
        <f t="shared" si="0"/>
        <v>45.5537124,-94.1914041</v>
      </c>
      <c r="I37" s="19" t="s">
        <v>2199</v>
      </c>
      <c r="J37" s="18" t="s">
        <v>2211</v>
      </c>
    </row>
    <row r="38" spans="1:10" ht="30" x14ac:dyDescent="0.25">
      <c r="A38" s="26" t="str">
        <f>Workbook2!B38</f>
        <v>Hallie Q. Brown Community Center, Inc</v>
      </c>
      <c r="B38" s="1" t="str">
        <f>Workbook2!E38</f>
        <v>270 North Kent Street, Saint Paul, MN</v>
      </c>
      <c r="C38" s="18">
        <v>2016</v>
      </c>
      <c r="D38" s="1" t="s">
        <v>4</v>
      </c>
      <c r="E38" s="1" t="str">
        <f>Workbook2!C38</f>
        <v>10000</v>
      </c>
      <c r="F38" s="1" t="str">
        <f>IF(OR(IFERROR(SEARCH("FSC", D38)&lt;&gt;0,FALSE),IFERROR(SEARCH("GP", D38)&lt;&gt;0,FALSE)), TRUE, "")</f>
        <v/>
      </c>
      <c r="H38" s="1" t="str">
        <f t="shared" si="0"/>
        <v>44.9493920,-93.1229610</v>
      </c>
      <c r="J38" s="18" t="s">
        <v>2212</v>
      </c>
    </row>
    <row r="39" spans="1:10" ht="90" x14ac:dyDescent="0.25">
      <c r="A39" s="26" t="str">
        <f>Workbook2!B39</f>
        <v>Harrison Neighborhood Association</v>
      </c>
      <c r="B39" s="1" t="str">
        <f>Workbook2!E39</f>
        <v>503 Irving Ave N Ste 100, Minneapolis, MN</v>
      </c>
      <c r="C39" s="18" t="s">
        <v>2273</v>
      </c>
      <c r="D39" s="1" t="s">
        <v>2291</v>
      </c>
      <c r="E39" s="1" t="str">
        <f>Workbook2!C39</f>
        <v>10000; 10000</v>
      </c>
      <c r="F39" s="1" t="b">
        <f>IF(OR(IFERROR(SEARCH("FSC", D39)&lt;&gt;0,FALSE),IFERROR(SEARCH("GP", D39)&lt;&gt;0,FALSE)), TRUE, "")</f>
        <v>1</v>
      </c>
      <c r="H39" s="1" t="s">
        <v>2265</v>
      </c>
      <c r="J39" s="18" t="s">
        <v>2213</v>
      </c>
    </row>
    <row r="40" spans="1:10" ht="30" x14ac:dyDescent="0.25">
      <c r="A40" s="26" t="str">
        <f>Workbook2!B40</f>
        <v>Heritage Park Neighborhood Association</v>
      </c>
      <c r="B40" s="1" t="str">
        <f>Workbook2!E40</f>
        <v>1000 Olson Memorial Highway, Minneapolis, MN</v>
      </c>
      <c r="C40" s="18">
        <v>2015</v>
      </c>
      <c r="D40" s="1" t="s">
        <v>4</v>
      </c>
      <c r="E40" s="1" t="str">
        <f>Workbook2!C40</f>
        <v>10000</v>
      </c>
      <c r="F40" s="1" t="b">
        <v>1</v>
      </c>
      <c r="H40" s="1" t="str">
        <f t="shared" ref="H40:H75" si="1">MyGeocode(B40)</f>
        <v>44.9849960,-93.2924648</v>
      </c>
      <c r="J40" s="18" t="s">
        <v>2214</v>
      </c>
    </row>
    <row r="41" spans="1:10" ht="30" x14ac:dyDescent="0.25">
      <c r="A41" s="26" t="str">
        <f>Workbook2!B41</f>
        <v>Hispanic Outreach Program of Goodhue</v>
      </c>
      <c r="B41" s="1" t="str">
        <f>Workbook2!E41</f>
        <v>1407 West 4th St, Red Wing, MN</v>
      </c>
      <c r="C41" s="18">
        <v>2016</v>
      </c>
      <c r="D41" s="1" t="s">
        <v>4</v>
      </c>
      <c r="E41" s="1" t="str">
        <f>Workbook2!C41</f>
        <v>10000</v>
      </c>
      <c r="F41" s="1" t="b">
        <v>0</v>
      </c>
      <c r="G41" s="1" t="b">
        <v>1</v>
      </c>
      <c r="H41" s="1" t="str">
        <f t="shared" si="1"/>
        <v>44.5602732,-92.5482788</v>
      </c>
      <c r="I41" s="59" t="s">
        <v>2185</v>
      </c>
      <c r="J41" s="18" t="s">
        <v>2215</v>
      </c>
    </row>
    <row r="42" spans="1:10" ht="90" x14ac:dyDescent="0.25">
      <c r="A42" s="26" t="str">
        <f>Workbook2!B42</f>
        <v>Hmong American Farmers Association</v>
      </c>
      <c r="B42" s="1" t="str">
        <f>Workbook2!E42</f>
        <v>941 Lafond Ave Suite 100, St. Paul, MN</v>
      </c>
      <c r="C42" s="18" t="s">
        <v>2273</v>
      </c>
      <c r="D42" s="1" t="s">
        <v>2292</v>
      </c>
      <c r="E42" s="1" t="str">
        <f>Workbook2!C42</f>
        <v>10000; 10000</v>
      </c>
      <c r="F42" s="1" t="b">
        <f>TRUE</f>
        <v>1</v>
      </c>
      <c r="G42" s="1" t="b">
        <v>1</v>
      </c>
      <c r="H42" s="1" t="str">
        <f t="shared" si="1"/>
        <v>44.9609434,-93.1399050</v>
      </c>
      <c r="I42" s="59" t="s">
        <v>2188</v>
      </c>
      <c r="J42" s="66" t="s">
        <v>2318</v>
      </c>
    </row>
    <row r="43" spans="1:10" ht="135" x14ac:dyDescent="0.25">
      <c r="A43" s="26" t="str">
        <f>Workbook2!B43</f>
        <v>Hnub Tshiab: Hmong Women Achieving Together</v>
      </c>
      <c r="B43" s="1" t="str">
        <f>Workbook2!E43</f>
        <v>PO Box 14127, St. Paul, MN</v>
      </c>
      <c r="C43" s="18" t="s">
        <v>2274</v>
      </c>
      <c r="D43" s="1" t="s">
        <v>2302</v>
      </c>
      <c r="E43" s="1" t="str">
        <f>Workbook2!C43</f>
        <v>250; 10000</v>
      </c>
      <c r="F43" s="1" t="b">
        <f>IF(OR(IFERROR(SEARCH("FSC", D43)&lt;&gt;0,FALSE),IFERROR(SEARCH("GP", D43)&lt;&gt;0,FALSE)), TRUE, "")</f>
        <v>1</v>
      </c>
      <c r="G43" s="1" t="b">
        <v>1</v>
      </c>
      <c r="H43" s="1" t="str">
        <f t="shared" si="1"/>
        <v>44.9537029,-93.0899578</v>
      </c>
      <c r="J43" s="18" t="s">
        <v>2319</v>
      </c>
    </row>
    <row r="44" spans="1:10" ht="60" x14ac:dyDescent="0.25">
      <c r="A44" s="26" t="str">
        <f>Workbook2!B44</f>
        <v>Immigrant Development Center</v>
      </c>
      <c r="B44" s="1" t="str">
        <f>Workbook2!E44</f>
        <v>810 4th Ave S, Suite 204, Moorhead, MN</v>
      </c>
      <c r="C44" s="18" t="s">
        <v>2279</v>
      </c>
      <c r="D44" s="1" t="s">
        <v>2285</v>
      </c>
      <c r="E44" s="1" t="str">
        <f>Workbook2!C44</f>
        <v>10000; 10000</v>
      </c>
      <c r="F44" s="1" t="b">
        <v>1</v>
      </c>
      <c r="G44" s="1" t="b">
        <v>1</v>
      </c>
      <c r="H44" s="1" t="str">
        <f t="shared" si="1"/>
        <v>46.8712237,-96.7671452</v>
      </c>
      <c r="I44" s="59" t="s">
        <v>2186</v>
      </c>
      <c r="J44" s="18" t="s">
        <v>2216</v>
      </c>
    </row>
    <row r="45" spans="1:10" ht="30" x14ac:dyDescent="0.25">
      <c r="A45" s="64" t="s">
        <v>2236</v>
      </c>
      <c r="B45" s="1" t="str">
        <f>Workbook2!E45</f>
        <v>444 Lexington Parkway South, Unit 1, Saint Paul, MN</v>
      </c>
      <c r="C45" s="18" t="s">
        <v>2284</v>
      </c>
      <c r="D45" s="1" t="s">
        <v>4</v>
      </c>
      <c r="E45" s="1" t="str">
        <f>Workbook2!C45</f>
        <v>10000</v>
      </c>
      <c r="F45" s="1" t="b">
        <v>1</v>
      </c>
      <c r="G45" s="1" t="b">
        <v>1</v>
      </c>
      <c r="H45" s="1" t="str">
        <f t="shared" si="1"/>
        <v>44.9280216,-93.1462220</v>
      </c>
      <c r="I45" s="59" t="s">
        <v>2188</v>
      </c>
      <c r="J45" s="18" t="s">
        <v>2217</v>
      </c>
    </row>
    <row r="46" spans="1:10" ht="30" x14ac:dyDescent="0.25">
      <c r="A46" s="26" t="str">
        <f>Workbook2!B46</f>
        <v>Indigenous Roots</v>
      </c>
      <c r="B46" s="1" t="str">
        <f>Workbook2!E46</f>
        <v>24 Nelson Street, Saint Paul, MN</v>
      </c>
      <c r="C46" s="18">
        <v>2017</v>
      </c>
      <c r="D46" s="1" t="s">
        <v>4</v>
      </c>
      <c r="E46" s="1" t="str">
        <f>Workbook2!C46</f>
        <v>10000</v>
      </c>
      <c r="F46" s="1" t="b">
        <v>1</v>
      </c>
      <c r="G46" s="1" t="b">
        <v>1</v>
      </c>
      <c r="H46" s="1" t="str">
        <f t="shared" si="1"/>
        <v>44.9417877,-93.0109410</v>
      </c>
      <c r="I46" s="19" t="s">
        <v>2192</v>
      </c>
      <c r="J46" s="18" t="s">
        <v>2218</v>
      </c>
    </row>
    <row r="47" spans="1:10" ht="90" x14ac:dyDescent="0.25">
      <c r="A47" s="26" t="str">
        <f>Workbook2!B47</f>
        <v>InquilinXs UnidXs Por Justicia (United Renters For Justice)</v>
      </c>
      <c r="B47" s="1" t="str">
        <f>Workbook2!E47</f>
        <v>4139 Garfield Avenue, Minneapolis, MN</v>
      </c>
      <c r="C47" s="18" t="s">
        <v>2278</v>
      </c>
      <c r="D47" s="1" t="s">
        <v>2291</v>
      </c>
      <c r="E47" s="1" t="str">
        <f>Workbook2!C47</f>
        <v>250; 10000</v>
      </c>
      <c r="F47" s="1" t="b">
        <f>IF(OR(IFERROR(SEARCH("FSC", D47)&lt;&gt;0,FALSE),IFERROR(SEARCH("GP", D47)&lt;&gt;0,FALSE)), TRUE, "")</f>
        <v>1</v>
      </c>
      <c r="G47" s="1" t="b">
        <v>1</v>
      </c>
      <c r="H47" s="1" t="str">
        <f t="shared" si="1"/>
        <v>44.9274775,-93.2867276</v>
      </c>
      <c r="I47" s="59" t="s">
        <v>2191</v>
      </c>
      <c r="J47" s="66" t="s">
        <v>2320</v>
      </c>
    </row>
    <row r="48" spans="1:10" ht="30" x14ac:dyDescent="0.25">
      <c r="A48" s="26" t="str">
        <f>Workbook2!B48</f>
        <v>Iraqi and American Reconciliation Project</v>
      </c>
      <c r="B48" s="1" t="str">
        <f>Workbook2!E48</f>
        <v>416 East Hennepin Ave, Minneapolis, MN</v>
      </c>
      <c r="C48" s="18" t="s">
        <v>2278</v>
      </c>
      <c r="D48" s="1" t="s">
        <v>2285</v>
      </c>
      <c r="E48" s="1" t="str">
        <f>Workbook2!C48</f>
        <v>10000; 10000</v>
      </c>
      <c r="F48" s="1" t="b">
        <v>1</v>
      </c>
      <c r="G48" s="1" t="b">
        <v>1</v>
      </c>
      <c r="H48" s="1" t="str">
        <f t="shared" si="1"/>
        <v>44.9884588,-93.2539834</v>
      </c>
      <c r="I48" s="59" t="s">
        <v>2188</v>
      </c>
      <c r="J48" s="18" t="s">
        <v>2219</v>
      </c>
    </row>
    <row r="49" spans="1:10" ht="30" x14ac:dyDescent="0.25">
      <c r="A49" s="26" t="str">
        <f>Workbook2!B49</f>
        <v>Isuroon</v>
      </c>
      <c r="B49" s="1" t="str">
        <f>Workbook2!E49</f>
        <v>3416 Niollet Avenue South, Minneapolis, MN</v>
      </c>
      <c r="C49" s="18">
        <v>2016</v>
      </c>
      <c r="D49" s="1" t="s">
        <v>4</v>
      </c>
      <c r="E49" s="1" t="str">
        <f>Workbook2!C49</f>
        <v>7500</v>
      </c>
      <c r="F49" s="1" t="b">
        <v>1</v>
      </c>
      <c r="G49" s="1" t="b">
        <v>1</v>
      </c>
      <c r="H49" s="1" t="str">
        <f t="shared" si="1"/>
        <v>44.9407535,-93.2783063</v>
      </c>
      <c r="I49" s="19" t="s">
        <v>2234</v>
      </c>
      <c r="J49" s="18" t="s">
        <v>2220</v>
      </c>
    </row>
    <row r="50" spans="1:10" ht="90" x14ac:dyDescent="0.25">
      <c r="A50" s="26" t="str">
        <f>Workbook2!B50</f>
        <v>Jewish Community Action</v>
      </c>
      <c r="B50" s="1" t="str">
        <f>Workbook2!E50</f>
        <v>2375 University Ave W Ste 150, Saint Paul, MN</v>
      </c>
      <c r="C50" s="18" t="s">
        <v>2273</v>
      </c>
      <c r="D50" s="1" t="s">
        <v>2285</v>
      </c>
      <c r="E50" s="1" t="str">
        <f>Workbook2!C50</f>
        <v>10000; 10000</v>
      </c>
      <c r="F50" s="1" t="b">
        <v>0</v>
      </c>
      <c r="G50" s="1" t="b">
        <v>1</v>
      </c>
      <c r="H50" s="1" t="str">
        <f t="shared" si="1"/>
        <v>44.9641522,-93.1968601</v>
      </c>
      <c r="I50" s="59" t="s">
        <v>2188</v>
      </c>
      <c r="J50" s="66" t="s">
        <v>2321</v>
      </c>
    </row>
    <row r="51" spans="1:10" ht="45" x14ac:dyDescent="0.25">
      <c r="A51" s="26" t="str">
        <f>Workbook2!B51</f>
        <v>Jordan Area Community Council</v>
      </c>
      <c r="B51" s="1" t="str">
        <f>Workbook2!E51</f>
        <v>2800 Fremont avenue North, suite 108, Minneapolis, MN</v>
      </c>
      <c r="C51" s="18">
        <v>2017</v>
      </c>
      <c r="D51" s="1" t="s">
        <v>4</v>
      </c>
      <c r="E51" s="1" t="str">
        <f>Workbook2!C51</f>
        <v>10000</v>
      </c>
      <c r="F51" s="1" t="b">
        <v>1</v>
      </c>
      <c r="G51" s="1" t="b">
        <v>1</v>
      </c>
      <c r="H51" s="1" t="str">
        <f t="shared" si="1"/>
        <v>45.0087204,-93.2955984</v>
      </c>
      <c r="I51" s="59" t="s">
        <v>2191</v>
      </c>
      <c r="J51" s="18" t="s">
        <v>2322</v>
      </c>
    </row>
    <row r="52" spans="1:10" ht="45" x14ac:dyDescent="0.25">
      <c r="A52" s="26" t="str">
        <f>Workbook2!B52</f>
        <v>Kaleo Center for Faith, Justice &amp; Social Transformation</v>
      </c>
      <c r="B52" s="1" t="str">
        <f>Workbook2!E52</f>
        <v>3000 5th Street NW, New Brighton, MN</v>
      </c>
      <c r="C52" s="18">
        <v>2016</v>
      </c>
      <c r="D52" s="1" t="s">
        <v>4</v>
      </c>
      <c r="E52" s="1" t="str">
        <f>Workbook2!C52</f>
        <v>10000</v>
      </c>
      <c r="F52" s="1" t="b">
        <v>0</v>
      </c>
      <c r="G52" s="1" t="b">
        <v>1</v>
      </c>
      <c r="H52" s="1" t="str">
        <f t="shared" si="1"/>
        <v>45.0584670,-93.2257930</v>
      </c>
      <c r="I52" s="59" t="s">
        <v>2258</v>
      </c>
      <c r="J52" s="18" t="s">
        <v>2323</v>
      </c>
    </row>
    <row r="53" spans="1:10" ht="30" x14ac:dyDescent="0.25">
      <c r="A53" s="26" t="str">
        <f>Workbook2!B53</f>
        <v>Karen Organization of Minnesota</v>
      </c>
      <c r="B53" s="1" t="str">
        <f>Workbook2!E53</f>
        <v>2353 Rice Street, Suite 240 , Roseville, MN</v>
      </c>
      <c r="C53" s="18">
        <v>2016</v>
      </c>
      <c r="D53" s="1" t="s">
        <v>4</v>
      </c>
      <c r="E53" s="1" t="str">
        <f>Workbook2!C53</f>
        <v>10000</v>
      </c>
      <c r="F53" s="1" t="b">
        <v>1</v>
      </c>
      <c r="G53" s="1" t="b">
        <v>1</v>
      </c>
      <c r="H53" s="1" t="str">
        <f t="shared" si="1"/>
        <v>45.0119704,-93.1069931</v>
      </c>
      <c r="I53" s="19" t="s">
        <v>2200</v>
      </c>
      <c r="J53" s="18" t="s">
        <v>2324</v>
      </c>
    </row>
    <row r="54" spans="1:10" ht="60" x14ac:dyDescent="0.25">
      <c r="A54" s="26" t="str">
        <f>Workbook2!B54</f>
        <v>La Asamblea de Derechos Civiles</v>
      </c>
      <c r="B54" s="1" t="str">
        <f>Workbook2!E54</f>
        <v>3500 38th Ave S, Minneapolis, MN</v>
      </c>
      <c r="C54" s="18">
        <v>2015</v>
      </c>
      <c r="D54" s="1" t="s">
        <v>102</v>
      </c>
      <c r="E54" s="1" t="str">
        <f>Workbook2!C54</f>
        <v>10000</v>
      </c>
      <c r="F54" s="1" t="b">
        <v>1</v>
      </c>
      <c r="G54" s="1" t="b">
        <v>1</v>
      </c>
      <c r="H54" s="1" t="str">
        <f t="shared" si="1"/>
        <v>44.9394800,-93.2182190</v>
      </c>
      <c r="I54" s="59" t="s">
        <v>2235</v>
      </c>
      <c r="J54" s="18" t="s">
        <v>2325</v>
      </c>
    </row>
    <row r="55" spans="1:10" ht="30" x14ac:dyDescent="0.25">
      <c r="A55" s="26" t="str">
        <f>Workbook2!B55</f>
        <v>Lao Assistance Center of Minnesota</v>
      </c>
      <c r="B55" s="1" t="str">
        <f>Workbook2!E55</f>
        <v>503 Irving Ave N Ste 100A, Minneapolis, MN</v>
      </c>
      <c r="C55" s="18">
        <v>2016</v>
      </c>
      <c r="D55" s="1" t="s">
        <v>4</v>
      </c>
      <c r="E55" s="1" t="str">
        <f>Workbook2!C55</f>
        <v>10000</v>
      </c>
      <c r="F55" s="1" t="b">
        <v>1</v>
      </c>
      <c r="G55" s="1" t="b">
        <v>1</v>
      </c>
      <c r="H55" s="1" t="str">
        <f t="shared" si="1"/>
        <v>44.9827416,-93.2996079</v>
      </c>
      <c r="I55" s="19" t="s">
        <v>2184</v>
      </c>
      <c r="J55" s="18" t="s">
        <v>2221</v>
      </c>
    </row>
    <row r="56" spans="1:10" ht="45" x14ac:dyDescent="0.25">
      <c r="A56" s="26" t="str">
        <f>Workbook2!B56</f>
        <v>ManForward</v>
      </c>
      <c r="B56" s="1" t="str">
        <f>Workbook2!E56</f>
        <v>PO Box 6223, Minneapolis, MN</v>
      </c>
      <c r="C56" s="18">
        <v>2017</v>
      </c>
      <c r="D56" s="1" t="s">
        <v>4</v>
      </c>
      <c r="E56" s="1" t="str">
        <f>Workbook2!C56</f>
        <v>10000</v>
      </c>
      <c r="F56" s="1" t="b">
        <v>1</v>
      </c>
      <c r="G56" s="1" t="b">
        <v>1</v>
      </c>
      <c r="H56" s="1" t="str">
        <f t="shared" si="1"/>
        <v>44.9777530,-93.2650108</v>
      </c>
      <c r="I56" s="19" t="s">
        <v>2188</v>
      </c>
      <c r="J56" s="18" t="s">
        <v>2222</v>
      </c>
    </row>
    <row r="57" spans="1:10" ht="30" x14ac:dyDescent="0.25">
      <c r="A57" s="26" t="str">
        <f>Workbook2!B57</f>
        <v>Men As Peacemakers</v>
      </c>
      <c r="B57" s="1" t="str">
        <f>Workbook2!E57</f>
        <v>205 W. 2nd St, Ste 15, Duluth, MN</v>
      </c>
      <c r="C57" s="18">
        <v>2016</v>
      </c>
      <c r="D57" s="1" t="s">
        <v>4</v>
      </c>
      <c r="E57" s="1" t="str">
        <f>Workbook2!C57</f>
        <v>10000</v>
      </c>
      <c r="F57" s="1" t="b">
        <v>0</v>
      </c>
      <c r="G57" s="1" t="b">
        <v>1</v>
      </c>
      <c r="H57" s="1" t="str">
        <f t="shared" si="1"/>
        <v>46.7863878,-92.1031465</v>
      </c>
      <c r="I57" s="19" t="s">
        <v>2184</v>
      </c>
      <c r="J57" s="18" t="s">
        <v>2326</v>
      </c>
    </row>
    <row r="58" spans="1:10" ht="45" x14ac:dyDescent="0.25">
      <c r="A58" s="26" t="str">
        <f>Workbook2!B58</f>
        <v>Midwest Mixed Conference</v>
      </c>
      <c r="B58" s="1" t="str">
        <f>Workbook2!E58</f>
        <v>2525 E. Franklin Ave., Ste. 301, Minneapolis, MN</v>
      </c>
      <c r="C58" s="18">
        <v>2017</v>
      </c>
      <c r="D58" s="1" t="s">
        <v>4</v>
      </c>
      <c r="E58" s="1" t="str">
        <f>Workbook2!C58</f>
        <v>10000</v>
      </c>
      <c r="F58" s="44" t="b">
        <v>1</v>
      </c>
      <c r="G58" s="1" t="b">
        <v>1</v>
      </c>
      <c r="H58" s="1" t="str">
        <f t="shared" si="1"/>
        <v>44.9624953,-93.2349043</v>
      </c>
      <c r="I58" s="59" t="s">
        <v>2188</v>
      </c>
      <c r="J58" s="18" t="s">
        <v>2327</v>
      </c>
    </row>
    <row r="59" spans="1:10" ht="60" x14ac:dyDescent="0.25">
      <c r="A59" s="26" t="str">
        <f>Workbook2!B59</f>
        <v>Minnesota Coalition for the Homeless</v>
      </c>
      <c r="B59" s="1" t="str">
        <f>Workbook2!E59</f>
        <v>2233 University Ave W. Suite 434, St. Paul, MN</v>
      </c>
      <c r="C59" s="18" t="s">
        <v>2280</v>
      </c>
      <c r="D59" s="1" t="s">
        <v>2293</v>
      </c>
      <c r="E59" s="1" t="str">
        <f>Workbook2!C59</f>
        <v>10000; 10000</v>
      </c>
      <c r="F59" s="1" t="b">
        <v>0</v>
      </c>
      <c r="G59" s="1" t="b">
        <v>1</v>
      </c>
      <c r="H59" s="1" t="str">
        <f t="shared" si="1"/>
        <v>44.9624663,-93.1921036</v>
      </c>
      <c r="I59" s="19" t="s">
        <v>2184</v>
      </c>
      <c r="J59" s="18" t="s">
        <v>2246</v>
      </c>
    </row>
    <row r="60" spans="1:10" ht="60" x14ac:dyDescent="0.25">
      <c r="A60" s="26" t="str">
        <f>Workbook2!B60</f>
        <v>Minnesota Interfaith Power and Light</v>
      </c>
      <c r="B60" s="1" t="str">
        <f>Workbook2!E60</f>
        <v>2104 Stevens Ave. S., Minneapolis, MN</v>
      </c>
      <c r="C60" s="18" t="s">
        <v>2280</v>
      </c>
      <c r="D60" s="1" t="s">
        <v>2285</v>
      </c>
      <c r="E60" s="1" t="str">
        <f>Workbook2!C60</f>
        <v>10000; 10000</v>
      </c>
      <c r="F60" s="1" t="b">
        <v>1</v>
      </c>
      <c r="G60" s="1" t="b">
        <v>1</v>
      </c>
      <c r="H60" s="1" t="str">
        <f t="shared" si="1"/>
        <v>44.9615252,-93.2756388</v>
      </c>
      <c r="I60" s="19" t="s">
        <v>2184</v>
      </c>
      <c r="J60" s="18" t="s">
        <v>2247</v>
      </c>
    </row>
    <row r="61" spans="1:10" ht="45" x14ac:dyDescent="0.25">
      <c r="A61" s="26" t="str">
        <f>Workbook2!B61</f>
        <v>Minnesota Transgender Health Coalition</v>
      </c>
      <c r="B61" s="1" t="str">
        <f>Workbook2!E61</f>
        <v>3405 Chicago Ave., Minneapolis, MN</v>
      </c>
      <c r="C61" s="18">
        <v>2016</v>
      </c>
      <c r="D61" s="1" t="s">
        <v>4</v>
      </c>
      <c r="E61" s="1" t="str">
        <f>Workbook2!C61</f>
        <v>10000</v>
      </c>
      <c r="F61" s="1" t="b">
        <v>1</v>
      </c>
      <c r="G61" s="1" t="b">
        <v>1</v>
      </c>
      <c r="H61" s="1" t="str">
        <f t="shared" si="1"/>
        <v>44.9410720,-93.2623101</v>
      </c>
      <c r="I61" s="59" t="s">
        <v>2184</v>
      </c>
      <c r="J61" s="18" t="s">
        <v>2328</v>
      </c>
    </row>
    <row r="62" spans="1:10" ht="45" x14ac:dyDescent="0.25">
      <c r="A62" s="26" t="str">
        <f>Workbook2!B62</f>
        <v>Minnesota Urban Debate League</v>
      </c>
      <c r="B62" s="1" t="str">
        <f>Workbook2!E62</f>
        <v>2211 Riverside Ave, Minneapolis, MN</v>
      </c>
      <c r="C62" s="18">
        <v>2015</v>
      </c>
      <c r="D62" s="1" t="s">
        <v>4</v>
      </c>
      <c r="E62" s="1" t="str">
        <f>Workbook2!C62</f>
        <v>10000</v>
      </c>
      <c r="F62" s="1" t="b">
        <v>0</v>
      </c>
      <c r="G62" s="1" t="b">
        <v>1</v>
      </c>
      <c r="H62" s="1" t="str">
        <f t="shared" si="1"/>
        <v>44.9668205,-93.2417984</v>
      </c>
      <c r="I62" s="59" t="s">
        <v>2188</v>
      </c>
      <c r="J62" s="18" t="s">
        <v>2329</v>
      </c>
    </row>
    <row r="63" spans="1:10" ht="60" x14ac:dyDescent="0.25">
      <c r="A63" s="26" t="str">
        <f>Workbook2!B63</f>
        <v>MN Host Home Network</v>
      </c>
      <c r="B63" s="1" t="str">
        <f>Workbook2!E63</f>
        <v>2314 University Ave W, Suite 28, Saint Paul, MN</v>
      </c>
      <c r="C63" s="18">
        <v>2016</v>
      </c>
      <c r="D63" s="1" t="s">
        <v>4</v>
      </c>
      <c r="E63" s="1" t="str">
        <f>Workbook2!C63</f>
        <v>10000</v>
      </c>
      <c r="F63" s="1" t="b">
        <v>0</v>
      </c>
      <c r="G63" s="1" t="b">
        <v>1</v>
      </c>
      <c r="H63" s="1" t="str">
        <f t="shared" si="1"/>
        <v>44.9625424,-93.1954846</v>
      </c>
      <c r="I63" s="59" t="s">
        <v>2184</v>
      </c>
      <c r="J63" s="18" t="s">
        <v>2330</v>
      </c>
    </row>
    <row r="64" spans="1:10" ht="45" x14ac:dyDescent="0.25">
      <c r="A64" s="26" t="str">
        <f>Workbook2!B64</f>
        <v>NARAL Pro-Choice MN</v>
      </c>
      <c r="B64" s="1" t="str">
        <f>Workbook2!E64</f>
        <v>2300 Myrtle St, Suite 120, St. Paul, MN</v>
      </c>
      <c r="C64" s="18">
        <v>2015</v>
      </c>
      <c r="D64" s="1" t="s">
        <v>4</v>
      </c>
      <c r="E64" s="1" t="str">
        <f>Workbook2!C64</f>
        <v>10000</v>
      </c>
      <c r="F64" s="1" t="b">
        <v>0</v>
      </c>
      <c r="G64" s="1" t="b">
        <v>1</v>
      </c>
      <c r="H64" s="1" t="str">
        <f t="shared" si="1"/>
        <v>44.9616900,-93.1961753</v>
      </c>
      <c r="I64" s="59" t="s">
        <v>2184</v>
      </c>
      <c r="J64" s="18" t="s">
        <v>2223</v>
      </c>
    </row>
    <row r="65" spans="1:10" ht="90" x14ac:dyDescent="0.25">
      <c r="A65" s="26" t="str">
        <f>Workbook2!B65</f>
        <v>Native American Community Development Institute</v>
      </c>
      <c r="B65" s="1" t="str">
        <f>Workbook2!E65</f>
        <v>1414 E Franklin Ave., Minneapolis, MN</v>
      </c>
      <c r="C65" s="18">
        <v>2016</v>
      </c>
      <c r="D65" s="1" t="s">
        <v>41</v>
      </c>
      <c r="E65" s="1" t="str">
        <f>Workbook2!C65</f>
        <v>10000</v>
      </c>
      <c r="F65" s="1" t="b">
        <f>IF(OR(IFERROR(SEARCH("FSC", D65)&lt;&gt;0,FALSE),IFERROR(SEARCH("GP", D65)&lt;&gt;0,FALSE)), TRUE, "")</f>
        <v>1</v>
      </c>
      <c r="G65" s="1" t="b">
        <v>1</v>
      </c>
      <c r="H65" s="1" t="str">
        <f t="shared" si="1"/>
        <v>44.9629404,-93.2544272</v>
      </c>
      <c r="I65" s="59" t="s">
        <v>2188</v>
      </c>
      <c r="J65" s="66" t="s">
        <v>2224</v>
      </c>
    </row>
    <row r="66" spans="1:10" ht="30" x14ac:dyDescent="0.25">
      <c r="A66" s="26" t="str">
        <f>Workbook2!B66</f>
        <v>Native Youth Alliance of Minnesota</v>
      </c>
      <c r="B66" s="1" t="str">
        <f>Workbook2!E66</f>
        <v>1113 E. Franklin Avenue, Suite 103, Minneapolis, MN</v>
      </c>
      <c r="C66" s="18">
        <v>2016</v>
      </c>
      <c r="D66" s="1" t="s">
        <v>41</v>
      </c>
      <c r="E66" s="1" t="str">
        <f>Workbook2!C66</f>
        <v>10000</v>
      </c>
      <c r="F66" s="1" t="b">
        <f>IF(OR(IFERROR(SEARCH("FSC", D66)&lt;&gt;0,FALSE),IFERROR(SEARCH("GP", D66)&lt;&gt;0,FALSE)), TRUE, "")</f>
        <v>1</v>
      </c>
      <c r="H66" s="1" t="str">
        <f t="shared" si="1"/>
        <v>44.9623845,-93.2577489</v>
      </c>
      <c r="J66" s="18" t="s">
        <v>2248</v>
      </c>
    </row>
    <row r="67" spans="1:10" ht="60" x14ac:dyDescent="0.25">
      <c r="A67" s="26" t="str">
        <f>Workbook2!B67</f>
        <v>NAVIGATE MN</v>
      </c>
      <c r="B67" s="1" t="str">
        <f>Workbook2!E67</f>
        <v>4137 Bloomington Ave, Minneapolis, MN</v>
      </c>
      <c r="C67" s="18">
        <v>2015</v>
      </c>
      <c r="D67" s="1" t="s">
        <v>102</v>
      </c>
      <c r="E67" s="1" t="str">
        <f>Workbook2!C67</f>
        <v>10000</v>
      </c>
      <c r="F67" s="1" t="b">
        <v>1</v>
      </c>
      <c r="H67" s="1" t="str">
        <f t="shared" si="1"/>
        <v>44.9278903,-93.2519924</v>
      </c>
      <c r="J67" s="18" t="s">
        <v>2225</v>
      </c>
    </row>
    <row r="68" spans="1:10" ht="150" x14ac:dyDescent="0.25">
      <c r="A68" s="26" t="str">
        <f>Workbook2!B68</f>
        <v>Neighborhoods Organizing for Change</v>
      </c>
      <c r="B68" s="1" t="str">
        <f>Workbook2!E68</f>
        <v>1101 West Broadway Avenue, Suite 100, Minneapolis, MN</v>
      </c>
      <c r="C68" s="18" t="s">
        <v>2274</v>
      </c>
      <c r="D68" s="1" t="s">
        <v>2294</v>
      </c>
      <c r="E68" s="1" t="str">
        <f>Workbook2!C68</f>
        <v>10000; 9451.13; 10000</v>
      </c>
      <c r="F68" s="1" t="b">
        <f>IF(OR(IFERROR(SEARCH("FSC", D68)&lt;&gt;0,FALSE),IFERROR(SEARCH("GP", D68)&lt;&gt;0,FALSE)), TRUE, "")</f>
        <v>1</v>
      </c>
      <c r="G68" s="1" t="b">
        <v>1</v>
      </c>
      <c r="H68" s="1" t="str">
        <f t="shared" si="1"/>
        <v>44.9988760,-93.2943350</v>
      </c>
      <c r="I68" s="19" t="s">
        <v>2184</v>
      </c>
      <c r="J68" s="66" t="s">
        <v>2331</v>
      </c>
    </row>
    <row r="69" spans="1:10" ht="135" x14ac:dyDescent="0.25">
      <c r="A69" s="26" t="str">
        <f>Workbook2!B69</f>
        <v>OutFront MN Community Services</v>
      </c>
      <c r="B69" s="1" t="str">
        <f>Workbook2!E69</f>
        <v>310 E. 38th St  Ste 204, Minneapolis, MN</v>
      </c>
      <c r="C69" s="18" t="s">
        <v>2281</v>
      </c>
      <c r="D69" s="1" t="s">
        <v>2295</v>
      </c>
      <c r="E69" s="1" t="str">
        <f>Workbook2!C69</f>
        <v>10000; 10000; 10000</v>
      </c>
      <c r="F69" s="1" t="b">
        <v>0</v>
      </c>
      <c r="G69" s="1" t="b">
        <v>1</v>
      </c>
      <c r="H69" s="1" t="str">
        <f t="shared" si="1"/>
        <v>44.9347965,-93.2720220</v>
      </c>
      <c r="I69" s="59" t="s">
        <v>2184</v>
      </c>
      <c r="J69" s="18" t="s">
        <v>2226</v>
      </c>
    </row>
    <row r="70" spans="1:10" ht="30" x14ac:dyDescent="0.25">
      <c r="A70" s="26" t="str">
        <f>Workbook2!B70</f>
        <v>Pan Asian Arts Alliance</v>
      </c>
      <c r="B70" s="1" t="str">
        <f>Workbook2!E70</f>
        <v>550 Rice Street, St. Paul, MN</v>
      </c>
      <c r="C70" s="18">
        <v>2017</v>
      </c>
      <c r="D70" s="1" t="s">
        <v>4</v>
      </c>
      <c r="E70" s="1" t="str">
        <f>Workbook2!C70</f>
        <v>10000</v>
      </c>
      <c r="F70" s="1" t="str">
        <f>IF(OR(IFERROR(SEARCH("FSC", D70)&lt;&gt;0,FALSE),IFERROR(SEARCH("GP", D70)&lt;&gt;0,FALSE)), TRUE, "")</f>
        <v/>
      </c>
      <c r="G70" s="1" t="b">
        <v>1</v>
      </c>
      <c r="H70" s="1" t="str">
        <f t="shared" si="1"/>
        <v>44.9580934,-93.1056927</v>
      </c>
      <c r="I70" s="59" t="s">
        <v>2188</v>
      </c>
      <c r="J70" s="66" t="s">
        <v>2332</v>
      </c>
    </row>
    <row r="71" spans="1:10" ht="45" x14ac:dyDescent="0.25">
      <c r="A71" s="26" t="str">
        <f>Workbook2!B71</f>
        <v>Phillips Indian Educators (PIE)</v>
      </c>
      <c r="B71" s="1" t="str">
        <f>Workbook2!E71</f>
        <v>2421 Bloomington Ave S, Minneapolis, MN</v>
      </c>
      <c r="C71" s="18">
        <v>2016</v>
      </c>
      <c r="D71" s="1" t="s">
        <v>41</v>
      </c>
      <c r="E71" s="1" t="str">
        <f>Workbook2!C71</f>
        <v>5000</v>
      </c>
      <c r="F71" s="1" t="b">
        <f>IF(OR(IFERROR(SEARCH("FSC", D71)&lt;&gt;0,FALSE),IFERROR(SEARCH("GP", D71)&lt;&gt;0,FALSE)), TRUE, "")</f>
        <v>1</v>
      </c>
      <c r="G71" s="1" t="b">
        <v>1</v>
      </c>
      <c r="H71" s="1" t="str">
        <f t="shared" si="1"/>
        <v>44.9582978,-93.2520669</v>
      </c>
      <c r="I71" s="59" t="s">
        <v>2188</v>
      </c>
      <c r="J71" s="18" t="s">
        <v>2227</v>
      </c>
    </row>
    <row r="72" spans="1:10" ht="30" x14ac:dyDescent="0.25">
      <c r="A72" s="26" t="str">
        <f>Workbook2!B72</f>
        <v>Project Fine</v>
      </c>
      <c r="B72" s="1" t="str">
        <f>Workbook2!E72</f>
        <v>202 West 3rd Street, Winona, MN</v>
      </c>
      <c r="C72" s="18">
        <v>2016</v>
      </c>
      <c r="D72" s="1" t="s">
        <v>4</v>
      </c>
      <c r="E72" s="1" t="str">
        <f>Workbook2!C72</f>
        <v>9864</v>
      </c>
      <c r="F72" s="1" t="str">
        <f>IF(OR(IFERROR(SEARCH("FSC", D72)&lt;&gt;0,FALSE),IFERROR(SEARCH("GP", D72)&lt;&gt;0,FALSE)), TRUE, "")</f>
        <v/>
      </c>
      <c r="H72" s="1" t="str">
        <f t="shared" si="1"/>
        <v>44.0539385,-91.6407648</v>
      </c>
      <c r="J72" s="66" t="s">
        <v>2263</v>
      </c>
    </row>
    <row r="73" spans="1:10" ht="30" x14ac:dyDescent="0.25">
      <c r="A73" s="26" t="str">
        <f>Workbook2!B73</f>
        <v>RECLAIM</v>
      </c>
      <c r="B73" s="1" t="str">
        <f>Workbook2!E73</f>
        <v>771 Raymond Avenue, Saint Paul, MN</v>
      </c>
      <c r="C73" s="18">
        <v>2015</v>
      </c>
      <c r="D73" s="1" t="s">
        <v>4</v>
      </c>
      <c r="E73" s="1" t="str">
        <f>Workbook2!C73</f>
        <v>10000</v>
      </c>
      <c r="F73" s="1" t="b">
        <v>1</v>
      </c>
      <c r="G73" s="1" t="b">
        <v>1</v>
      </c>
      <c r="H73" s="1" t="str">
        <f t="shared" si="1"/>
        <v>44.9647968,-93.1978719</v>
      </c>
      <c r="I73" s="59" t="s">
        <v>2188</v>
      </c>
      <c r="J73" s="18" t="s">
        <v>2228</v>
      </c>
    </row>
    <row r="74" spans="1:10" ht="45" x14ac:dyDescent="0.25">
      <c r="A74" s="26" t="str">
        <f>Workbook2!B74</f>
        <v>Redeemer Center for Life</v>
      </c>
      <c r="B74" s="1" t="str">
        <f>Workbook2!E74</f>
        <v>350 Logan Ave N # 201, Minneapolis, MN 55405</v>
      </c>
      <c r="C74" s="18">
        <v>2016</v>
      </c>
      <c r="D74" s="1" t="s">
        <v>4</v>
      </c>
      <c r="E74" s="1" t="str">
        <f>Workbook2!C74</f>
        <v>10000</v>
      </c>
      <c r="F74" s="1" t="b">
        <v>1</v>
      </c>
      <c r="G74" s="1" t="b">
        <v>1</v>
      </c>
      <c r="H74" s="1" t="str">
        <f t="shared" si="1"/>
        <v>44.9810225,-93.3031064</v>
      </c>
      <c r="I74" s="59" t="s">
        <v>2191</v>
      </c>
      <c r="J74" s="18" t="s">
        <v>2333</v>
      </c>
    </row>
    <row r="75" spans="1:10" ht="45" x14ac:dyDescent="0.25">
      <c r="A75" s="26" t="str">
        <f>Workbook2!B75</f>
        <v>Reviving the Islamic Sisterhood for Empowerment</v>
      </c>
      <c r="B75" s="1" t="str">
        <f>Workbook2!E75</f>
        <v>1007 West Broadway Ave, Minneapolis, MN 55411</v>
      </c>
      <c r="C75" s="18">
        <v>2016</v>
      </c>
      <c r="D75" s="1" t="s">
        <v>4</v>
      </c>
      <c r="E75" s="1" t="str">
        <f>Workbook2!C75</f>
        <v>10000</v>
      </c>
      <c r="F75" s="1" t="b">
        <v>1</v>
      </c>
      <c r="G75" s="1" t="b">
        <v>1</v>
      </c>
      <c r="H75" s="1" t="str">
        <f t="shared" si="1"/>
        <v>44.9989019,-93.2930896</v>
      </c>
      <c r="I75" s="59" t="s">
        <v>2201</v>
      </c>
      <c r="J75" s="18" t="s">
        <v>2334</v>
      </c>
    </row>
    <row r="76" spans="1:10" ht="30" x14ac:dyDescent="0.25">
      <c r="A76" s="26" t="str">
        <f>Workbook2!B76</f>
        <v>Rural and American Indigenous Leadership</v>
      </c>
      <c r="B76" s="1" t="str">
        <f>Workbook2!E76</f>
        <v>702 3rd Ave S, Virginia, MN</v>
      </c>
      <c r="C76" s="18">
        <v>2015</v>
      </c>
      <c r="D76" s="1" t="s">
        <v>4</v>
      </c>
      <c r="E76" s="1" t="str">
        <f>Workbook2!C76</f>
        <v>7940</v>
      </c>
      <c r="F76" s="1" t="b">
        <v>1</v>
      </c>
      <c r="G76" s="1" t="b">
        <v>1</v>
      </c>
      <c r="H76" s="1" t="s">
        <v>2181</v>
      </c>
      <c r="I76" s="59" t="s">
        <v>2259</v>
      </c>
      <c r="J76" s="18" t="s">
        <v>2241</v>
      </c>
    </row>
    <row r="77" spans="1:10" ht="30" x14ac:dyDescent="0.25">
      <c r="A77" s="26" t="str">
        <f>Workbook2!B77</f>
        <v>Rural Renewable Energy Alliance</v>
      </c>
      <c r="B77" s="1" t="str">
        <f>Workbook2!E77</f>
        <v>3963 8th Street SW, Backus, MN</v>
      </c>
      <c r="C77" s="18">
        <v>2016</v>
      </c>
      <c r="D77" s="1" t="s">
        <v>4</v>
      </c>
      <c r="E77" s="1" t="str">
        <f>Workbook2!C77</f>
        <v>10000</v>
      </c>
      <c r="F77" s="1" t="b">
        <v>0</v>
      </c>
      <c r="G77" s="1" t="b">
        <v>1</v>
      </c>
      <c r="H77" s="1" t="str">
        <f t="shared" ref="H77:H86" si="2">MyGeocode(B77)</f>
        <v>46.7756150,-94.4899630</v>
      </c>
      <c r="I77" s="59" t="s">
        <v>2260</v>
      </c>
      <c r="J77" s="66" t="s">
        <v>2335</v>
      </c>
    </row>
    <row r="78" spans="1:10" ht="90" x14ac:dyDescent="0.25">
      <c r="A78" s="26" t="str">
        <f>Workbook2!B78</f>
        <v>Shades of Yellow</v>
      </c>
      <c r="B78" s="1" t="str">
        <f>Workbook2!E78</f>
        <v>995 University Ave. W #215, St. Paul, MN</v>
      </c>
      <c r="C78" s="18" t="s">
        <v>2280</v>
      </c>
      <c r="D78" s="1" t="s">
        <v>2296</v>
      </c>
      <c r="E78" s="1" t="str">
        <f>Workbook2!C78</f>
        <v>250; 10000</v>
      </c>
      <c r="F78" s="1" t="b">
        <f>IF(OR(IFERROR(SEARCH("FSC", D78)&lt;&gt;0,FALSE),IFERROR(SEARCH("GP", D78)&lt;&gt;0,FALSE)), TRUE, "")</f>
        <v>1</v>
      </c>
      <c r="H78" s="1" t="str">
        <f t="shared" si="2"/>
        <v>44.9560594,-93.1424960</v>
      </c>
      <c r="J78" s="18" t="s">
        <v>2249</v>
      </c>
    </row>
    <row r="79" spans="1:10" ht="45" x14ac:dyDescent="0.25">
      <c r="A79" s="26" t="str">
        <f>Workbook2!B79</f>
        <v>Somali American Community</v>
      </c>
      <c r="B79" s="1" t="str">
        <f>Workbook2!E79</f>
        <v>2323 Eleventh Avenue South, Suite 260, Minneapolis, MN</v>
      </c>
      <c r="C79" s="18">
        <v>2017</v>
      </c>
      <c r="D79" s="1" t="s">
        <v>4</v>
      </c>
      <c r="E79" s="1" t="str">
        <f>Workbook2!C79</f>
        <v>10000</v>
      </c>
      <c r="F79" s="1" t="b">
        <v>1</v>
      </c>
      <c r="G79" s="1" t="b">
        <v>1</v>
      </c>
      <c r="H79" s="1" t="str">
        <f t="shared" si="2"/>
        <v>44.9595900,-93.2572572</v>
      </c>
      <c r="I79" s="19" t="s">
        <v>2188</v>
      </c>
      <c r="J79" s="66" t="s">
        <v>2336</v>
      </c>
    </row>
    <row r="80" spans="1:10" ht="30" x14ac:dyDescent="0.25">
      <c r="A80" s="26" t="str">
        <f>Workbook2!B80</f>
        <v>Somali Artifact and Cultural Museum</v>
      </c>
      <c r="B80" s="1" t="str">
        <f>Workbook2!E80</f>
        <v>1516 East Lake Street #11, Minneapolis, MN</v>
      </c>
      <c r="C80" s="18">
        <v>2016</v>
      </c>
      <c r="D80" s="1" t="s">
        <v>4</v>
      </c>
      <c r="E80" s="1" t="str">
        <f>Workbook2!C80</f>
        <v>9000</v>
      </c>
      <c r="F80" s="1" t="str">
        <f>IF(OR(IFERROR(SEARCH("FSC", D80)&lt;&gt;0,FALSE),IFERROR(SEARCH("GP", D80)&lt;&gt;0,FALSE)), TRUE, "")</f>
        <v/>
      </c>
      <c r="H80" s="1" t="str">
        <f t="shared" si="2"/>
        <v>44.9486527,-93.2530670</v>
      </c>
      <c r="J80" s="18" t="s">
        <v>2337</v>
      </c>
    </row>
    <row r="81" spans="1:10" ht="30" x14ac:dyDescent="0.25">
      <c r="A81" s="26" t="str">
        <f>Workbook2!B81</f>
        <v>Somali Community Barwaaqo Organization</v>
      </c>
      <c r="B81" s="1" t="str">
        <f>Workbook2!E81</f>
        <v>227 E Main St #200, Mankato, MN</v>
      </c>
      <c r="C81" s="18">
        <v>2017</v>
      </c>
      <c r="D81" s="1" t="s">
        <v>4</v>
      </c>
      <c r="E81" s="1" t="str">
        <f>Workbook2!C81</f>
        <v>10000</v>
      </c>
      <c r="F81" s="1" t="str">
        <f>IF(OR(IFERROR(SEARCH("FSC", D81)&lt;&gt;0,FALSE),IFERROR(SEARCH("GP", D81)&lt;&gt;0,FALSE)), TRUE, "")</f>
        <v/>
      </c>
      <c r="G81" s="1" t="b">
        <v>1</v>
      </c>
      <c r="H81" s="1" t="str">
        <f t="shared" si="2"/>
        <v>44.1661573,-94.0006080</v>
      </c>
      <c r="I81" s="59" t="s">
        <v>2187</v>
      </c>
      <c r="J81" s="18" t="s">
        <v>2338</v>
      </c>
    </row>
    <row r="82" spans="1:10" ht="60" x14ac:dyDescent="0.25">
      <c r="A82" s="26" t="str">
        <f>Workbook2!B82</f>
        <v>The Bridge for Youth</v>
      </c>
      <c r="B82" s="1" t="str">
        <f>Workbook2!E82</f>
        <v>1111 West 22nd Street, Minneapolis, MN</v>
      </c>
      <c r="C82" s="18">
        <v>2015</v>
      </c>
      <c r="D82" s="1" t="s">
        <v>4</v>
      </c>
      <c r="E82" s="1" t="str">
        <f>Workbook2!C82</f>
        <v>10000</v>
      </c>
      <c r="F82" s="1" t="b">
        <v>0</v>
      </c>
      <c r="G82" s="1" t="b">
        <v>1</v>
      </c>
      <c r="H82" s="1" t="str">
        <f t="shared" si="2"/>
        <v>44.9606550,-93.2940543</v>
      </c>
      <c r="I82" s="19" t="s">
        <v>2188</v>
      </c>
      <c r="J82" s="18" t="s">
        <v>2339</v>
      </c>
    </row>
    <row r="83" spans="1:10" ht="30" x14ac:dyDescent="0.25">
      <c r="A83" s="26" t="str">
        <f>Workbook2!B83</f>
        <v>The Food Goup</v>
      </c>
      <c r="B83" s="1" t="str">
        <f>Workbook2!E83</f>
        <v>8501 54th Ave. N., New Hope, MN</v>
      </c>
      <c r="C83" s="18">
        <v>2016</v>
      </c>
      <c r="D83" s="1" t="s">
        <v>4</v>
      </c>
      <c r="E83" s="1" t="str">
        <f>Workbook2!C83</f>
        <v>10000</v>
      </c>
      <c r="F83" s="1" t="b">
        <v>0</v>
      </c>
      <c r="G83" s="1" t="b">
        <v>1</v>
      </c>
      <c r="H83" s="1" t="str">
        <f t="shared" si="2"/>
        <v>45.0498718,-93.3883386</v>
      </c>
      <c r="I83" s="59" t="s">
        <v>2197</v>
      </c>
      <c r="J83" s="18" t="s">
        <v>2340</v>
      </c>
    </row>
    <row r="84" spans="1:10" ht="45" x14ac:dyDescent="0.25">
      <c r="A84" s="26" t="str">
        <f>Workbook2!B84</f>
        <v>The People's Press Project (PPP)</v>
      </c>
      <c r="B84" s="1" t="str">
        <f>Workbook2!E84</f>
        <v>1517 4th Ave S., Moorhead, MN</v>
      </c>
      <c r="C84" s="18" t="s">
        <v>2273</v>
      </c>
      <c r="D84" s="1" t="s">
        <v>2285</v>
      </c>
      <c r="E84" s="1" t="str">
        <f>Workbook2!C84</f>
        <v>10000; 10000</v>
      </c>
      <c r="F84" s="1" t="b">
        <v>0</v>
      </c>
      <c r="G84" s="1" t="b">
        <v>1</v>
      </c>
      <c r="H84" s="1" t="str">
        <f t="shared" si="2"/>
        <v>46.8703880,-96.7551403</v>
      </c>
      <c r="I84" s="19" t="s">
        <v>2186</v>
      </c>
      <c r="J84" s="18" t="s">
        <v>2229</v>
      </c>
    </row>
    <row r="85" spans="1:10" ht="30" x14ac:dyDescent="0.25">
      <c r="A85" s="26" t="str">
        <f>Workbook2!B85</f>
        <v>The Power of People Leadership Institute</v>
      </c>
      <c r="B85" s="1" t="str">
        <f>Workbook2!E85</f>
        <v>600 - 18th Avenue North, Suite 1, Minneapolis, MN</v>
      </c>
      <c r="C85" s="18">
        <v>2016</v>
      </c>
      <c r="D85" s="1" t="s">
        <v>4</v>
      </c>
      <c r="E85" s="1" t="str">
        <f>Workbook2!C85</f>
        <v>10000</v>
      </c>
      <c r="F85" s="1" t="str">
        <f>IF(OR(IFERROR(SEARCH("FSC", D85)&lt;&gt;0,FALSE),IFERROR(SEARCH("GP", D85)&lt;&gt;0,FALSE)), TRUE, "")</f>
        <v/>
      </c>
      <c r="H85" s="1" t="str">
        <f t="shared" si="2"/>
        <v>44.9977322,-93.2872064</v>
      </c>
      <c r="J85" s="18" t="s">
        <v>2341</v>
      </c>
    </row>
    <row r="86" spans="1:10" ht="60" x14ac:dyDescent="0.25">
      <c r="A86" s="26" t="str">
        <f>Workbook2!B86</f>
        <v>The unPrison Project</v>
      </c>
      <c r="B86" s="1" t="str">
        <f>Workbook2!E86</f>
        <v>8014 Olson Memorial Hwy #153, Minneapolis, MN</v>
      </c>
      <c r="C86" s="18">
        <v>2015</v>
      </c>
      <c r="D86" s="1" t="s">
        <v>4</v>
      </c>
      <c r="E86" s="1" t="str">
        <f>Workbook2!C86</f>
        <v>10000</v>
      </c>
      <c r="F86" s="1" t="b">
        <v>1</v>
      </c>
      <c r="G86" s="1" t="b">
        <v>1</v>
      </c>
      <c r="H86" s="1" t="str">
        <f t="shared" si="2"/>
        <v>44.9851080,-93.3824744</v>
      </c>
      <c r="I86" s="19" t="s">
        <v>2184</v>
      </c>
      <c r="J86" s="18" t="s">
        <v>2250</v>
      </c>
    </row>
    <row r="87" spans="1:10" ht="105" x14ac:dyDescent="0.25">
      <c r="A87" s="26" t="str">
        <f>Workbook2!B88</f>
        <v>Toxic Taters Coaltion</v>
      </c>
      <c r="B87" s="1" t="str">
        <f>Workbook2!E88</f>
        <v>607 Main St P.O. Box 25, Callaway, Minnesota</v>
      </c>
      <c r="C87" s="18" t="s">
        <v>2280</v>
      </c>
      <c r="D87" s="1" t="s">
        <v>2297</v>
      </c>
      <c r="E87" s="1" t="str">
        <f>Workbook2!C88</f>
        <v>10000; 10000</v>
      </c>
      <c r="F87" s="1" t="str">
        <f>IF(OR(IFERROR(SEARCH("FSC", D87)&lt;&gt;0,FALSE),IFERROR(SEARCH("GP", D87)&lt;&gt;0,FALSE)), TRUE, "")</f>
        <v/>
      </c>
      <c r="G87" s="1" t="b">
        <v>1</v>
      </c>
      <c r="H87" s="18" t="s">
        <v>2264</v>
      </c>
      <c r="I87" s="19" t="s">
        <v>2195</v>
      </c>
      <c r="J87" s="18" t="s">
        <v>2342</v>
      </c>
    </row>
    <row r="88" spans="1:10" ht="30" x14ac:dyDescent="0.25">
      <c r="A88" s="26" t="str">
        <f>Workbook2!B90</f>
        <v>Tretter Collection in GLBT Studies at the University of Minnesota</v>
      </c>
      <c r="B88" s="1" t="str">
        <f>Workbook2!E90</f>
        <v>McNamara Alumni Center 200 Oak Street SE, Suite 500, Minneapolis, MN</v>
      </c>
      <c r="C88" s="18">
        <v>2016</v>
      </c>
      <c r="D88" s="1" t="s">
        <v>4</v>
      </c>
      <c r="E88" s="1" t="str">
        <f>Workbook2!C90</f>
        <v>10000</v>
      </c>
      <c r="F88" s="1" t="str">
        <f>IF(OR(IFERROR(SEARCH("FSC", D88)&lt;&gt;0,FALSE),IFERROR(SEARCH("GP", D88)&lt;&gt;0,FALSE)), TRUE, "")</f>
        <v/>
      </c>
      <c r="G88" s="1" t="b">
        <v>1</v>
      </c>
      <c r="H88" s="1" t="str">
        <f t="shared" ref="H88:H95" si="3">MyGeocode(B88)</f>
        <v>44.9751430,-93.2278449</v>
      </c>
      <c r="I88" s="59" t="s">
        <v>2261</v>
      </c>
      <c r="J88" s="18" t="s">
        <v>2343</v>
      </c>
    </row>
    <row r="89" spans="1:10" ht="30" x14ac:dyDescent="0.25">
      <c r="A89" s="26" t="str">
        <f>Workbook2!B89</f>
        <v>Twin Cities Agricultural Land Trust</v>
      </c>
      <c r="B89" s="1" t="str">
        <f>Workbook2!E89</f>
        <v>1930 Glenwood Avenue, Minneapolis, MN</v>
      </c>
      <c r="C89" s="18">
        <v>2017</v>
      </c>
      <c r="D89" s="1" t="s">
        <v>4</v>
      </c>
      <c r="E89" s="1" t="str">
        <f>Workbook2!C89</f>
        <v>10000</v>
      </c>
      <c r="F89" s="1" t="b">
        <v>0</v>
      </c>
      <c r="G89" s="1" t="b">
        <v>1</v>
      </c>
      <c r="H89" s="1" t="str">
        <f t="shared" si="3"/>
        <v>44.9809038,-93.3056335</v>
      </c>
      <c r="I89" s="19" t="s">
        <v>2188</v>
      </c>
      <c r="J89" s="18" t="s">
        <v>2251</v>
      </c>
    </row>
    <row r="90" spans="1:10" ht="60" x14ac:dyDescent="0.25">
      <c r="A90" s="26" t="str">
        <f>Workbook2!B91</f>
        <v>Upstream Arts, Inc.</v>
      </c>
      <c r="B90" s="1" t="str">
        <f>Workbook2!E91</f>
        <v>3501 Chicago Avenue S, Minneapolis, MN</v>
      </c>
      <c r="C90" s="18">
        <v>2017</v>
      </c>
      <c r="D90" s="1" t="s">
        <v>4</v>
      </c>
      <c r="E90" s="1" t="str">
        <f>Workbook2!C91</f>
        <v>10000</v>
      </c>
      <c r="F90" s="1" t="b">
        <v>0</v>
      </c>
      <c r="G90" s="1" t="b">
        <v>1</v>
      </c>
      <c r="H90" s="1" t="str">
        <f t="shared" si="3"/>
        <v>44.9393119,-93.2621679</v>
      </c>
      <c r="I90" s="59" t="s">
        <v>2189</v>
      </c>
      <c r="J90" s="18" t="s">
        <v>2344</v>
      </c>
    </row>
    <row r="91" spans="1:10" ht="30" x14ac:dyDescent="0.25">
      <c r="A91" s="26" t="str">
        <f>Workbook2!B92</f>
        <v>Victoria Theater Arts Initiative</v>
      </c>
      <c r="B91" s="1" t="str">
        <f>Workbook2!E92</f>
        <v>501 North Dale St, Saint Paul, MN</v>
      </c>
      <c r="C91" s="18">
        <v>2017</v>
      </c>
      <c r="D91" s="1" t="s">
        <v>4</v>
      </c>
      <c r="E91" s="1" t="str">
        <f>Workbook2!C92</f>
        <v>10000</v>
      </c>
      <c r="F91" s="1" t="str">
        <f>IF(OR(IFERROR(SEARCH("FSC", D91)&lt;&gt;0,FALSE),IFERROR(SEARCH("GP", D91)&lt;&gt;0,FALSE)), TRUE, "")</f>
        <v/>
      </c>
      <c r="H91" s="1" t="str">
        <f t="shared" si="3"/>
        <v>44.9563200,-93.1266360</v>
      </c>
      <c r="J91" s="18" t="s">
        <v>2345</v>
      </c>
    </row>
    <row r="92" spans="1:10" ht="105" x14ac:dyDescent="0.25">
      <c r="A92" s="26" t="str">
        <f>Workbook2!B93</f>
        <v>Voices for Racial Justice</v>
      </c>
      <c r="B92" s="1" t="str">
        <f>Workbook2!E93</f>
        <v>2525 E. Franklin Ave., Ste. 301, Minneapolis, MN</v>
      </c>
      <c r="C92" s="18" t="s">
        <v>2282</v>
      </c>
      <c r="D92" s="1" t="s">
        <v>2298</v>
      </c>
      <c r="E92" s="1" t="str">
        <f>Workbook2!C93</f>
        <v>10000; 10000; 10000</v>
      </c>
      <c r="F92" s="1" t="b">
        <v>1</v>
      </c>
      <c r="G92" s="1" t="b">
        <v>1</v>
      </c>
      <c r="H92" s="1" t="str">
        <f t="shared" si="3"/>
        <v>44.9624953,-93.2349043</v>
      </c>
      <c r="I92" s="19" t="s">
        <v>2196</v>
      </c>
      <c r="J92" s="18" t="s">
        <v>2346</v>
      </c>
    </row>
    <row r="93" spans="1:10" ht="30" x14ac:dyDescent="0.25">
      <c r="A93" s="26" t="str">
        <f>Workbook2!B94</f>
        <v>Watercourse Counseling Center</v>
      </c>
      <c r="B93" s="1" t="str">
        <f>Workbook2!E94</f>
        <v>3548 Bryant Avenue South, Minneapolis, MN</v>
      </c>
      <c r="C93" s="18">
        <v>2017</v>
      </c>
      <c r="D93" s="1" t="s">
        <v>4</v>
      </c>
      <c r="E93" s="1" t="str">
        <f>Workbook2!C94</f>
        <v>10000</v>
      </c>
      <c r="F93" s="1" t="str">
        <f>IF(OR(IFERROR(SEARCH("FSC", D93)&lt;&gt;0,FALSE),IFERROR(SEARCH("GP", D93)&lt;&gt;0,FALSE)), TRUE, "")</f>
        <v/>
      </c>
      <c r="G93" s="1" t="b">
        <v>1</v>
      </c>
      <c r="H93" s="1" t="str">
        <f t="shared" si="3"/>
        <v>44.9379732,-93.2911144</v>
      </c>
      <c r="J93" s="18" t="s">
        <v>2231</v>
      </c>
    </row>
    <row r="94" spans="1:10" ht="90" x14ac:dyDescent="0.25">
      <c r="A94" s="26" t="str">
        <f>Workbook2!B95</f>
        <v>WaterLegacy</v>
      </c>
      <c r="B94" s="1" t="str">
        <f>Workbook2!E95</f>
        <v>1961 Selby Avenue, Saint Paul, MN</v>
      </c>
      <c r="C94" s="18" t="s">
        <v>2282</v>
      </c>
      <c r="D94" s="1" t="s">
        <v>2298</v>
      </c>
      <c r="E94" s="1" t="str">
        <f>Workbook2!C95</f>
        <v>10000; 10000; 10000</v>
      </c>
      <c r="F94" s="1" t="b">
        <v>0</v>
      </c>
      <c r="G94" s="1" t="b">
        <v>1</v>
      </c>
      <c r="H94" s="1" t="str">
        <f t="shared" si="3"/>
        <v>44.9464324,-93.1833425</v>
      </c>
      <c r="I94" s="19" t="s">
        <v>2262</v>
      </c>
      <c r="J94" s="18" t="s">
        <v>2252</v>
      </c>
    </row>
    <row r="95" spans="1:10" ht="75" x14ac:dyDescent="0.25">
      <c r="A95" s="26" t="str">
        <f>Workbook2!B96</f>
        <v>Welfare Rights Committee</v>
      </c>
      <c r="B95" s="1" t="str">
        <f>Workbook2!E96</f>
        <v>4200 Cedar Ave S #4, Minneapolis MN 55407</v>
      </c>
      <c r="C95" s="18" t="s">
        <v>2280</v>
      </c>
      <c r="D95" s="1" t="s">
        <v>2293</v>
      </c>
      <c r="E95" s="1" t="str">
        <f>Workbook2!C96</f>
        <v>10000; 10000</v>
      </c>
      <c r="F95" s="1" t="b">
        <v>1</v>
      </c>
      <c r="G95" s="1" t="b">
        <v>1</v>
      </c>
      <c r="H95" s="1" t="str">
        <f t="shared" si="3"/>
        <v>44.9267569,-93.2477064</v>
      </c>
      <c r="I95" s="19" t="s">
        <v>2196</v>
      </c>
      <c r="J95" s="18" t="s">
        <v>2347</v>
      </c>
    </row>
    <row r="96" spans="1:10" ht="30" x14ac:dyDescent="0.25">
      <c r="A96" s="26" t="str">
        <f>Workbook2!B97</f>
        <v>West Side Community Organization</v>
      </c>
      <c r="B96" s="1" t="str">
        <f>Workbook2!E97</f>
        <v>209 Page Street, Saint Paul, MN</v>
      </c>
      <c r="C96" s="18" t="s">
        <v>2283</v>
      </c>
      <c r="D96" s="1" t="s">
        <v>4</v>
      </c>
      <c r="E96" s="1" t="str">
        <f>Workbook2!C97</f>
        <v>10000</v>
      </c>
      <c r="F96" s="1" t="b">
        <v>1</v>
      </c>
      <c r="G96" s="1" t="b">
        <v>1</v>
      </c>
      <c r="H96" s="1" t="s">
        <v>2182</v>
      </c>
      <c r="I96" s="19" t="s">
        <v>2192</v>
      </c>
      <c r="J96" s="18" t="s">
        <v>2232</v>
      </c>
    </row>
    <row r="97" spans="1:10" ht="60" x14ac:dyDescent="0.25">
      <c r="A97" s="26" t="str">
        <f>Workbook2!B98</f>
        <v>White Earth Land Recovery Project</v>
      </c>
      <c r="B97" s="1" t="str">
        <f>Workbook2!E98</f>
        <v>PO Box 97 607 Main Ave, Callaway, MN</v>
      </c>
      <c r="C97" s="18">
        <v>2017</v>
      </c>
      <c r="D97" s="1" t="s">
        <v>4</v>
      </c>
      <c r="E97" s="1" t="str">
        <f>Workbook2!C98</f>
        <v>10000</v>
      </c>
      <c r="F97" s="1" t="b">
        <v>1</v>
      </c>
      <c r="H97" s="1" t="str">
        <f>MyGeocode(B97)</f>
        <v>46.9839770,-95.9099588</v>
      </c>
      <c r="J97" s="18" t="s">
        <v>2233</v>
      </c>
    </row>
    <row r="98" spans="1:10" x14ac:dyDescent="0.25">
      <c r="A98" s="26" t="s">
        <v>2303</v>
      </c>
      <c r="B98" s="1" t="s">
        <v>2304</v>
      </c>
      <c r="C98" s="1">
        <v>2017</v>
      </c>
      <c r="D98" s="1" t="s">
        <v>24</v>
      </c>
      <c r="H98" s="1" t="str">
        <f>MyGeocode(B98)</f>
        <v>44.9508403,-93.2415194</v>
      </c>
      <c r="I98" s="19"/>
    </row>
  </sheetData>
  <sortState ref="A2:J97">
    <sortCondition ref="A1"/>
  </sortState>
  <conditionalFormatting sqref="G1:G1048576">
    <cfRule type="expression" dxfId="63" priority="1">
      <formula>IF(G1=TRUE, TRUE,FALSE)</formula>
    </cfRule>
  </conditionalFormatting>
  <conditionalFormatting sqref="F1:F1048576">
    <cfRule type="expression" dxfId="62" priority="2">
      <formula>IF(OR(IFERROR(SEARCH("FSC", D1)&lt;&gt;0,FALSE),IFERROR(SEARCH("GP", D1)&lt;&gt;0,FALSE)), TRUE, FALSE)</formula>
    </cfRule>
    <cfRule type="expression" dxfId="61" priority="3">
      <formula>IF(F1=TRUE, TRUE, FALSE)</formula>
    </cfRule>
  </conditionalFormatting>
  <pageMargins left="0.7" right="0.7"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18"/>
  <sheetViews>
    <sheetView workbookViewId="0"/>
  </sheetViews>
  <sheetFormatPr defaultRowHeight="15" x14ac:dyDescent="0.25"/>
  <sheetData>
    <row r="1" spans="1:5" ht="15.75" thickBot="1" x14ac:dyDescent="0.3">
      <c r="A1" s="32" t="s">
        <v>1763</v>
      </c>
      <c r="B1" s="32" t="s">
        <v>1764</v>
      </c>
      <c r="C1" s="32" t="s">
        <v>1765</v>
      </c>
      <c r="D1" s="34" t="s">
        <v>1992</v>
      </c>
      <c r="E1" s="39" t="s">
        <v>1994</v>
      </c>
    </row>
    <row r="2" spans="1:5" ht="15.75" thickTop="1" x14ac:dyDescent="0.25">
      <c r="A2" t="s">
        <v>1952</v>
      </c>
      <c r="B2" t="s">
        <v>1951</v>
      </c>
      <c r="C2" t="s">
        <v>1953</v>
      </c>
      <c r="D2" s="35" t="s">
        <v>1992</v>
      </c>
      <c r="E2" s="40" t="s">
        <v>1997</v>
      </c>
    </row>
    <row r="3" spans="1:5" x14ac:dyDescent="0.25">
      <c r="A3" t="s">
        <v>1954</v>
      </c>
      <c r="B3" t="s">
        <v>1951</v>
      </c>
      <c r="C3" t="s">
        <v>1953</v>
      </c>
      <c r="D3" t="s">
        <v>35</v>
      </c>
      <c r="E3" s="40" t="s">
        <v>1997</v>
      </c>
    </row>
    <row r="4" spans="1:5" x14ac:dyDescent="0.25">
      <c r="A4" t="s">
        <v>1790</v>
      </c>
      <c r="B4" t="s">
        <v>1791</v>
      </c>
      <c r="C4" t="s">
        <v>1792</v>
      </c>
      <c r="D4" t="s">
        <v>89</v>
      </c>
      <c r="E4" s="40" t="s">
        <v>36</v>
      </c>
    </row>
    <row r="5" spans="1:5" x14ac:dyDescent="0.25">
      <c r="A5" t="s">
        <v>1900</v>
      </c>
      <c r="B5" t="s">
        <v>1901</v>
      </c>
      <c r="C5" t="s">
        <v>1902</v>
      </c>
      <c r="D5" t="s">
        <v>107</v>
      </c>
      <c r="E5" s="40" t="s">
        <v>85</v>
      </c>
    </row>
    <row r="6" spans="1:5" x14ac:dyDescent="0.25">
      <c r="A6" t="s">
        <v>1775</v>
      </c>
      <c r="B6" t="s">
        <v>1773</v>
      </c>
      <c r="C6" t="s">
        <v>1776</v>
      </c>
      <c r="D6" t="s">
        <v>36</v>
      </c>
      <c r="E6" s="40" t="s">
        <v>85</v>
      </c>
    </row>
    <row r="7" spans="1:5" x14ac:dyDescent="0.25">
      <c r="A7" t="s">
        <v>1822</v>
      </c>
      <c r="B7" t="s">
        <v>1823</v>
      </c>
      <c r="C7" t="s">
        <v>1824</v>
      </c>
      <c r="D7" t="s">
        <v>85</v>
      </c>
      <c r="E7" s="40" t="s">
        <v>3</v>
      </c>
    </row>
    <row r="8" spans="1:5" x14ac:dyDescent="0.25">
      <c r="A8" t="s">
        <v>1825</v>
      </c>
      <c r="B8" t="s">
        <v>1826</v>
      </c>
      <c r="C8" t="s">
        <v>1827</v>
      </c>
      <c r="D8" t="s">
        <v>3</v>
      </c>
      <c r="E8" s="40" t="s">
        <v>3</v>
      </c>
    </row>
    <row r="9" spans="1:5" x14ac:dyDescent="0.25">
      <c r="A9" t="s">
        <v>1860</v>
      </c>
      <c r="B9" t="s">
        <v>1861</v>
      </c>
      <c r="C9" t="s">
        <v>1862</v>
      </c>
      <c r="D9" t="s">
        <v>87</v>
      </c>
      <c r="E9" s="40" t="s">
        <v>70</v>
      </c>
    </row>
    <row r="10" spans="1:5" x14ac:dyDescent="0.25">
      <c r="A10" t="s">
        <v>1888</v>
      </c>
      <c r="B10" t="s">
        <v>1889</v>
      </c>
      <c r="C10" t="s">
        <v>1890</v>
      </c>
      <c r="D10" t="s">
        <v>70</v>
      </c>
      <c r="E10" s="40" t="s">
        <v>2005</v>
      </c>
    </row>
    <row r="11" spans="1:5" x14ac:dyDescent="0.25">
      <c r="A11" t="s">
        <v>1878</v>
      </c>
      <c r="B11" t="s">
        <v>1879</v>
      </c>
      <c r="C11" t="s">
        <v>1880</v>
      </c>
      <c r="D11" t="s">
        <v>25</v>
      </c>
      <c r="E11" s="40" t="s">
        <v>25</v>
      </c>
    </row>
    <row r="12" spans="1:5" x14ac:dyDescent="0.25">
      <c r="A12" t="s">
        <v>1906</v>
      </c>
      <c r="B12" t="s">
        <v>1907</v>
      </c>
      <c r="C12" t="s">
        <v>1908</v>
      </c>
      <c r="D12" t="s">
        <v>83</v>
      </c>
      <c r="E12" s="40" t="s">
        <v>25</v>
      </c>
    </row>
    <row r="13" spans="1:5" x14ac:dyDescent="0.25">
      <c r="A13" t="s">
        <v>1814</v>
      </c>
      <c r="B13" t="s">
        <v>1820</v>
      </c>
      <c r="C13" t="s">
        <v>1821</v>
      </c>
      <c r="D13" t="s">
        <v>47</v>
      </c>
      <c r="E13" s="40" t="s">
        <v>150</v>
      </c>
    </row>
    <row r="14" spans="1:5" x14ac:dyDescent="0.25">
      <c r="A14" t="s">
        <v>1849</v>
      </c>
      <c r="B14" t="s">
        <v>1850</v>
      </c>
      <c r="C14" t="s">
        <v>1851</v>
      </c>
      <c r="D14" t="s">
        <v>48</v>
      </c>
      <c r="E14" s="13" t="s">
        <v>47</v>
      </c>
    </row>
    <row r="15" spans="1:5" x14ac:dyDescent="0.25">
      <c r="A15" t="s">
        <v>1799</v>
      </c>
      <c r="B15" t="s">
        <v>1800</v>
      </c>
      <c r="C15" t="s">
        <v>1801</v>
      </c>
      <c r="D15" t="s">
        <v>88</v>
      </c>
      <c r="E15" s="13" t="s">
        <v>2003</v>
      </c>
    </row>
    <row r="16" spans="1:5" x14ac:dyDescent="0.25">
      <c r="A16" t="s">
        <v>1903</v>
      </c>
      <c r="B16" t="s">
        <v>1904</v>
      </c>
      <c r="C16" t="s">
        <v>1905</v>
      </c>
      <c r="D16" t="s">
        <v>46</v>
      </c>
      <c r="E16" s="13" t="s">
        <v>38</v>
      </c>
    </row>
    <row r="17" spans="1:5" x14ac:dyDescent="0.25">
      <c r="A17" t="s">
        <v>1811</v>
      </c>
      <c r="B17" t="s">
        <v>1812</v>
      </c>
      <c r="C17" t="s">
        <v>1813</v>
      </c>
      <c r="D17" t="s">
        <v>38</v>
      </c>
      <c r="E17" s="40" t="s">
        <v>1999</v>
      </c>
    </row>
    <row r="18" spans="1:5" x14ac:dyDescent="0.25">
      <c r="A18" t="s">
        <v>1857</v>
      </c>
      <c r="B18" t="s">
        <v>1858</v>
      </c>
      <c r="C18" t="s">
        <v>1859</v>
      </c>
      <c r="D18" t="s">
        <v>92</v>
      </c>
      <c r="E18" s="40" t="s">
        <v>1999</v>
      </c>
    </row>
    <row r="19" spans="1:5" x14ac:dyDescent="0.25">
      <c r="A19" t="s">
        <v>1939</v>
      </c>
      <c r="B19" t="s">
        <v>1940</v>
      </c>
      <c r="C19" t="s">
        <v>1941</v>
      </c>
      <c r="D19" t="s">
        <v>93</v>
      </c>
      <c r="E19" s="40" t="s">
        <v>706</v>
      </c>
    </row>
    <row r="20" spans="1:5" x14ac:dyDescent="0.25">
      <c r="A20" t="s">
        <v>1918</v>
      </c>
      <c r="B20" t="s">
        <v>1919</v>
      </c>
      <c r="C20" t="s">
        <v>1920</v>
      </c>
      <c r="D20" t="s">
        <v>39</v>
      </c>
      <c r="E20" s="13" t="s">
        <v>42</v>
      </c>
    </row>
    <row r="21" spans="1:5" x14ac:dyDescent="0.25">
      <c r="A21" t="s">
        <v>1787</v>
      </c>
      <c r="B21" t="s">
        <v>1955</v>
      </c>
      <c r="C21" t="s">
        <v>1956</v>
      </c>
      <c r="D21" t="s">
        <v>49</v>
      </c>
      <c r="E21" t="s">
        <v>42</v>
      </c>
    </row>
    <row r="22" spans="1:5" x14ac:dyDescent="0.25">
      <c r="A22" t="s">
        <v>1930</v>
      </c>
      <c r="B22" t="s">
        <v>1931</v>
      </c>
      <c r="C22" t="s">
        <v>1932</v>
      </c>
      <c r="D22" t="s">
        <v>94</v>
      </c>
      <c r="E22" s="40" t="s">
        <v>21</v>
      </c>
    </row>
    <row r="23" spans="1:5" x14ac:dyDescent="0.25">
      <c r="A23" t="s">
        <v>1966</v>
      </c>
      <c r="B23" t="s">
        <v>1777</v>
      </c>
      <c r="C23" t="s">
        <v>1967</v>
      </c>
      <c r="D23" t="s">
        <v>218</v>
      </c>
      <c r="E23" s="40" t="s">
        <v>21</v>
      </c>
    </row>
    <row r="24" spans="1:5" x14ac:dyDescent="0.25">
      <c r="A24" t="s">
        <v>1834</v>
      </c>
      <c r="B24" t="s">
        <v>1835</v>
      </c>
      <c r="C24" t="s">
        <v>1836</v>
      </c>
      <c r="D24" t="s">
        <v>110</v>
      </c>
      <c r="E24" s="40" t="s">
        <v>5</v>
      </c>
    </row>
    <row r="25" spans="1:5" x14ac:dyDescent="0.25">
      <c r="A25" t="s">
        <v>1777</v>
      </c>
      <c r="B25" t="s">
        <v>1778</v>
      </c>
      <c r="C25" t="s">
        <v>1779</v>
      </c>
      <c r="D25" t="s">
        <v>78</v>
      </c>
      <c r="E25" s="40" t="s">
        <v>2013</v>
      </c>
    </row>
    <row r="26" spans="1:5" x14ac:dyDescent="0.25">
      <c r="A26" t="s">
        <v>1927</v>
      </c>
      <c r="B26" t="s">
        <v>1928</v>
      </c>
      <c r="C26" t="s">
        <v>1929</v>
      </c>
      <c r="D26" t="s">
        <v>42</v>
      </c>
      <c r="E26" s="40" t="s">
        <v>2011</v>
      </c>
    </row>
    <row r="27" spans="1:5" x14ac:dyDescent="0.25">
      <c r="A27" t="s">
        <v>1837</v>
      </c>
      <c r="B27" t="s">
        <v>1838</v>
      </c>
      <c r="C27" t="s">
        <v>1839</v>
      </c>
      <c r="D27" t="s">
        <v>40</v>
      </c>
      <c r="E27" s="40" t="s">
        <v>2011</v>
      </c>
    </row>
    <row r="28" spans="1:5" x14ac:dyDescent="0.25">
      <c r="A28" t="s">
        <v>1868</v>
      </c>
      <c r="B28" t="s">
        <v>1869</v>
      </c>
      <c r="C28" t="s">
        <v>1870</v>
      </c>
      <c r="D28" t="s">
        <v>96</v>
      </c>
      <c r="E28" s="40" t="s">
        <v>2002</v>
      </c>
    </row>
    <row r="29" spans="1:5" x14ac:dyDescent="0.25">
      <c r="A29" t="s">
        <v>1875</v>
      </c>
      <c r="B29" t="s">
        <v>1876</v>
      </c>
      <c r="C29" t="s">
        <v>1877</v>
      </c>
      <c r="D29" t="s">
        <v>21</v>
      </c>
      <c r="E29" s="40" t="s">
        <v>1995</v>
      </c>
    </row>
    <row r="30" spans="1:5" x14ac:dyDescent="0.25">
      <c r="A30" t="s">
        <v>1766</v>
      </c>
      <c r="B30" t="s">
        <v>1767</v>
      </c>
      <c r="C30" t="s">
        <v>1768</v>
      </c>
      <c r="D30" t="s">
        <v>5</v>
      </c>
      <c r="E30" s="40" t="s">
        <v>1995</v>
      </c>
    </row>
    <row r="31" spans="1:5" x14ac:dyDescent="0.25">
      <c r="A31" t="s">
        <v>1924</v>
      </c>
      <c r="B31" t="s">
        <v>1925</v>
      </c>
      <c r="C31" t="s">
        <v>1926</v>
      </c>
      <c r="D31" t="s">
        <v>97</v>
      </c>
      <c r="E31" s="40" t="s">
        <v>52</v>
      </c>
    </row>
    <row r="32" spans="1:5" x14ac:dyDescent="0.25">
      <c r="A32" t="s">
        <v>1808</v>
      </c>
      <c r="B32" t="s">
        <v>1809</v>
      </c>
      <c r="C32" t="s">
        <v>1810</v>
      </c>
      <c r="D32" t="s">
        <v>63</v>
      </c>
      <c r="E32" s="40" t="s">
        <v>52</v>
      </c>
    </row>
    <row r="33" spans="1:5" x14ac:dyDescent="0.25">
      <c r="A33" t="s">
        <v>1871</v>
      </c>
      <c r="B33" t="s">
        <v>1872</v>
      </c>
      <c r="C33" t="s">
        <v>1873</v>
      </c>
      <c r="D33" t="s">
        <v>26</v>
      </c>
      <c r="E33" s="40" t="s">
        <v>72</v>
      </c>
    </row>
    <row r="34" spans="1:5" x14ac:dyDescent="0.25">
      <c r="A34" t="s">
        <v>1971</v>
      </c>
      <c r="B34" t="s">
        <v>1972</v>
      </c>
      <c r="C34" t="s">
        <v>1973</v>
      </c>
      <c r="D34" t="s">
        <v>114</v>
      </c>
      <c r="E34" t="s">
        <v>27</v>
      </c>
    </row>
    <row r="35" spans="1:5" x14ac:dyDescent="0.25">
      <c r="A35" t="s">
        <v>1817</v>
      </c>
      <c r="B35" t="s">
        <v>1818</v>
      </c>
      <c r="C35" t="s">
        <v>1819</v>
      </c>
      <c r="D35" t="s">
        <v>50</v>
      </c>
      <c r="E35" t="s">
        <v>27</v>
      </c>
    </row>
    <row r="36" spans="1:5" x14ac:dyDescent="0.25">
      <c r="A36" t="s">
        <v>1840</v>
      </c>
      <c r="B36" t="s">
        <v>1841</v>
      </c>
      <c r="C36" t="s">
        <v>1842</v>
      </c>
      <c r="D36" t="s">
        <v>74</v>
      </c>
      <c r="E36" s="40" t="s">
        <v>2001</v>
      </c>
    </row>
    <row r="37" spans="1:5" x14ac:dyDescent="0.25">
      <c r="A37" t="s">
        <v>1960</v>
      </c>
      <c r="B37" t="s">
        <v>1961</v>
      </c>
      <c r="C37" t="s">
        <v>1962</v>
      </c>
      <c r="D37" t="s">
        <v>98</v>
      </c>
      <c r="E37" s="40" t="s">
        <v>2001</v>
      </c>
    </row>
    <row r="38" spans="1:5" x14ac:dyDescent="0.25">
      <c r="A38" t="s">
        <v>1793</v>
      </c>
      <c r="B38" t="s">
        <v>1794</v>
      </c>
      <c r="C38" t="s">
        <v>1795</v>
      </c>
      <c r="D38" t="s">
        <v>51</v>
      </c>
      <c r="E38" s="40" t="s">
        <v>2015</v>
      </c>
    </row>
    <row r="39" spans="1:5" x14ac:dyDescent="0.25">
      <c r="A39" t="s">
        <v>1865</v>
      </c>
      <c r="B39" t="s">
        <v>1866</v>
      </c>
      <c r="C39" t="s">
        <v>1867</v>
      </c>
      <c r="D39" t="s">
        <v>52</v>
      </c>
      <c r="E39" s="40" t="s">
        <v>61</v>
      </c>
    </row>
    <row r="40" spans="1:5" x14ac:dyDescent="0.25">
      <c r="A40" t="s">
        <v>1897</v>
      </c>
      <c r="B40" t="s">
        <v>1898</v>
      </c>
      <c r="C40" t="s">
        <v>1899</v>
      </c>
      <c r="D40" t="s">
        <v>72</v>
      </c>
      <c r="E40" s="40" t="s">
        <v>53</v>
      </c>
    </row>
    <row r="41" spans="1:5" x14ac:dyDescent="0.25">
      <c r="A41" t="s">
        <v>1846</v>
      </c>
      <c r="B41" t="s">
        <v>1847</v>
      </c>
      <c r="C41" t="s">
        <v>1848</v>
      </c>
      <c r="D41" t="s">
        <v>27</v>
      </c>
      <c r="E41" s="40" t="s">
        <v>53</v>
      </c>
    </row>
    <row r="42" spans="1:5" x14ac:dyDescent="0.25">
      <c r="A42" t="s">
        <v>1909</v>
      </c>
      <c r="B42" t="s">
        <v>1910</v>
      </c>
      <c r="C42" t="s">
        <v>1911</v>
      </c>
      <c r="D42" t="s">
        <v>64</v>
      </c>
      <c r="E42" s="40" t="s">
        <v>834</v>
      </c>
    </row>
    <row r="43" spans="1:5" x14ac:dyDescent="0.25">
      <c r="A43" t="s">
        <v>1936</v>
      </c>
      <c r="B43" t="s">
        <v>1937</v>
      </c>
      <c r="C43" t="s">
        <v>1938</v>
      </c>
      <c r="D43" t="s">
        <v>28</v>
      </c>
      <c r="E43" s="40" t="s">
        <v>54</v>
      </c>
    </row>
    <row r="44" spans="1:5" x14ac:dyDescent="0.25">
      <c r="A44" t="s">
        <v>1881</v>
      </c>
      <c r="B44" t="s">
        <v>1882</v>
      </c>
      <c r="C44" t="s">
        <v>1883</v>
      </c>
      <c r="D44" t="s">
        <v>61</v>
      </c>
      <c r="E44" s="40" t="s">
        <v>54</v>
      </c>
    </row>
    <row r="45" spans="1:5" x14ac:dyDescent="0.25">
      <c r="A45" t="s">
        <v>1881</v>
      </c>
      <c r="B45" t="s">
        <v>1882</v>
      </c>
      <c r="C45" t="s">
        <v>1884</v>
      </c>
      <c r="D45" t="s">
        <v>53</v>
      </c>
      <c r="E45" s="40" t="s">
        <v>29</v>
      </c>
    </row>
    <row r="46" spans="1:5" x14ac:dyDescent="0.25">
      <c r="A46" t="s">
        <v>1942</v>
      </c>
      <c r="B46" t="s">
        <v>1943</v>
      </c>
      <c r="C46" t="s">
        <v>1944</v>
      </c>
      <c r="D46" t="s">
        <v>834</v>
      </c>
      <c r="E46" s="40" t="s">
        <v>29</v>
      </c>
    </row>
    <row r="47" spans="1:5" x14ac:dyDescent="0.25">
      <c r="A47" t="s">
        <v>1891</v>
      </c>
      <c r="B47" t="s">
        <v>1892</v>
      </c>
      <c r="C47" t="s">
        <v>1893</v>
      </c>
      <c r="D47" t="s">
        <v>54</v>
      </c>
      <c r="E47" s="40" t="s">
        <v>29</v>
      </c>
    </row>
    <row r="48" spans="1:5" x14ac:dyDescent="0.25">
      <c r="A48" t="s">
        <v>1957</v>
      </c>
      <c r="B48" t="s">
        <v>1958</v>
      </c>
      <c r="C48" t="s">
        <v>1959</v>
      </c>
      <c r="D48" t="s">
        <v>29</v>
      </c>
      <c r="E48" s="40" t="s">
        <v>2006</v>
      </c>
    </row>
    <row r="49" spans="1:5" x14ac:dyDescent="0.25">
      <c r="A49" t="s">
        <v>1949</v>
      </c>
      <c r="B49" t="s">
        <v>1948</v>
      </c>
      <c r="C49" t="s">
        <v>1950</v>
      </c>
      <c r="D49" t="s">
        <v>55</v>
      </c>
      <c r="E49" s="40" t="s">
        <v>2006</v>
      </c>
    </row>
    <row r="50" spans="1:5" x14ac:dyDescent="0.25">
      <c r="A50" t="s">
        <v>1912</v>
      </c>
      <c r="B50" t="s">
        <v>1913</v>
      </c>
      <c r="C50" t="s">
        <v>1914</v>
      </c>
      <c r="D50" t="s">
        <v>65</v>
      </c>
      <c r="E50" s="40" t="s">
        <v>2006</v>
      </c>
    </row>
    <row r="51" spans="1:5" x14ac:dyDescent="0.25">
      <c r="A51" t="s">
        <v>1915</v>
      </c>
      <c r="B51" t="s">
        <v>1916</v>
      </c>
      <c r="C51" t="s">
        <v>1917</v>
      </c>
      <c r="D51" t="s">
        <v>103</v>
      </c>
      <c r="E51" s="40" t="s">
        <v>2008</v>
      </c>
    </row>
    <row r="52" spans="1:5" x14ac:dyDescent="0.25">
      <c r="A52" t="s">
        <v>1963</v>
      </c>
      <c r="B52" t="s">
        <v>1964</v>
      </c>
      <c r="C52" t="s">
        <v>1965</v>
      </c>
      <c r="D52" t="s">
        <v>66</v>
      </c>
      <c r="E52" s="40" t="s">
        <v>2008</v>
      </c>
    </row>
    <row r="53" spans="1:5" x14ac:dyDescent="0.25">
      <c r="A53" t="s">
        <v>1974</v>
      </c>
      <c r="B53" t="s">
        <v>1975</v>
      </c>
      <c r="C53" t="s">
        <v>1976</v>
      </c>
      <c r="D53" t="s">
        <v>30</v>
      </c>
      <c r="E53" s="40" t="s">
        <v>30</v>
      </c>
    </row>
    <row r="54" spans="1:5" x14ac:dyDescent="0.25">
      <c r="A54" t="s">
        <v>1772</v>
      </c>
      <c r="B54" t="s">
        <v>1773</v>
      </c>
      <c r="C54" t="s">
        <v>1774</v>
      </c>
      <c r="D54" t="s">
        <v>71</v>
      </c>
      <c r="E54" s="13" t="s">
        <v>2010</v>
      </c>
    </row>
    <row r="55" spans="1:5" x14ac:dyDescent="0.25">
      <c r="A55" t="s">
        <v>1921</v>
      </c>
      <c r="B55" t="s">
        <v>1922</v>
      </c>
      <c r="C55" t="s">
        <v>1923</v>
      </c>
      <c r="D55" t="s">
        <v>22</v>
      </c>
      <c r="E55" s="13" t="s">
        <v>2010</v>
      </c>
    </row>
    <row r="56" spans="1:5" x14ac:dyDescent="0.25">
      <c r="A56" t="s">
        <v>1763</v>
      </c>
      <c r="B56" t="s">
        <v>1764</v>
      </c>
      <c r="C56" t="s">
        <v>1765</v>
      </c>
      <c r="D56" t="s">
        <v>104</v>
      </c>
      <c r="E56" s="40" t="s">
        <v>2014</v>
      </c>
    </row>
    <row r="57" spans="1:5" x14ac:dyDescent="0.25">
      <c r="A57" t="s">
        <v>1802</v>
      </c>
      <c r="B57" t="s">
        <v>1803</v>
      </c>
      <c r="C57" t="s">
        <v>1804</v>
      </c>
      <c r="D57" t="s">
        <v>111</v>
      </c>
      <c r="E57" s="40" t="s">
        <v>2014</v>
      </c>
    </row>
    <row r="58" spans="1:5" x14ac:dyDescent="0.25">
      <c r="A58" t="s">
        <v>1945</v>
      </c>
      <c r="B58" t="s">
        <v>1946</v>
      </c>
      <c r="C58" t="s">
        <v>1947</v>
      </c>
      <c r="D58" t="s">
        <v>82</v>
      </c>
      <c r="E58" s="40" t="s">
        <v>82</v>
      </c>
    </row>
    <row r="59" spans="1:5" x14ac:dyDescent="0.25">
      <c r="A59" t="s">
        <v>1787</v>
      </c>
      <c r="B59" t="s">
        <v>1788</v>
      </c>
      <c r="C59" t="s">
        <v>1789</v>
      </c>
      <c r="D59" t="s">
        <v>99</v>
      </c>
      <c r="E59" s="40" t="s">
        <v>2000</v>
      </c>
    </row>
    <row r="60" spans="1:5" x14ac:dyDescent="0.25">
      <c r="A60" t="s">
        <v>1796</v>
      </c>
      <c r="B60" t="s">
        <v>1797</v>
      </c>
      <c r="C60" t="s">
        <v>1798</v>
      </c>
      <c r="D60" t="s">
        <v>79</v>
      </c>
      <c r="E60" s="40" t="s">
        <v>2012</v>
      </c>
    </row>
    <row r="61" spans="1:5" x14ac:dyDescent="0.25">
      <c r="A61" t="s">
        <v>1894</v>
      </c>
      <c r="B61" t="s">
        <v>1895</v>
      </c>
      <c r="C61" t="s">
        <v>1896</v>
      </c>
      <c r="D61" t="s">
        <v>100</v>
      </c>
      <c r="E61" s="40" t="s">
        <v>1996</v>
      </c>
    </row>
    <row r="62" spans="1:5" x14ac:dyDescent="0.25">
      <c r="A62" t="s">
        <v>1780</v>
      </c>
      <c r="B62" t="s">
        <v>1781</v>
      </c>
      <c r="C62" t="s">
        <v>1782</v>
      </c>
      <c r="D62" t="s">
        <v>43</v>
      </c>
      <c r="E62" s="40" t="s">
        <v>1998</v>
      </c>
    </row>
    <row r="63" spans="1:5" x14ac:dyDescent="0.25">
      <c r="A63" t="s">
        <v>1780</v>
      </c>
      <c r="B63" t="s">
        <v>1781</v>
      </c>
      <c r="C63" t="s">
        <v>1783</v>
      </c>
      <c r="D63" t="s">
        <v>76</v>
      </c>
      <c r="E63" s="13" t="s">
        <v>2009</v>
      </c>
    </row>
    <row r="64" spans="1:5" x14ac:dyDescent="0.25">
      <c r="A64" t="s">
        <v>1811</v>
      </c>
      <c r="B64" t="s">
        <v>1874</v>
      </c>
      <c r="C64" t="s">
        <v>1782</v>
      </c>
      <c r="D64" t="s">
        <v>105</v>
      </c>
      <c r="E64" s="40" t="s">
        <v>68</v>
      </c>
    </row>
    <row r="65" spans="1:5" x14ac:dyDescent="0.25">
      <c r="A65" t="s">
        <v>1852</v>
      </c>
      <c r="B65" t="s">
        <v>1853</v>
      </c>
      <c r="C65" t="s">
        <v>1854</v>
      </c>
      <c r="D65" t="s">
        <v>6</v>
      </c>
      <c r="E65" s="40" t="s">
        <v>68</v>
      </c>
    </row>
    <row r="66" spans="1:5" x14ac:dyDescent="0.25">
      <c r="A66" t="s">
        <v>1814</v>
      </c>
      <c r="B66" t="s">
        <v>1815</v>
      </c>
      <c r="C66" t="s">
        <v>1816</v>
      </c>
      <c r="D66" t="s">
        <v>31</v>
      </c>
      <c r="E66" s="40" t="s">
        <v>68</v>
      </c>
    </row>
    <row r="67" spans="1:5" x14ac:dyDescent="0.25">
      <c r="A67" t="s">
        <v>1968</v>
      </c>
      <c r="B67" t="s">
        <v>1969</v>
      </c>
      <c r="C67" t="s">
        <v>1970</v>
      </c>
      <c r="D67" t="s">
        <v>7</v>
      </c>
      <c r="E67" s="40" t="s">
        <v>2004</v>
      </c>
    </row>
    <row r="68" spans="1:5" x14ac:dyDescent="0.25">
      <c r="A68" t="s">
        <v>1805</v>
      </c>
      <c r="B68" t="s">
        <v>1806</v>
      </c>
      <c r="C68" t="s">
        <v>1807</v>
      </c>
      <c r="D68" t="s">
        <v>75</v>
      </c>
      <c r="E68" s="13" t="s">
        <v>449</v>
      </c>
    </row>
    <row r="69" spans="1:5" x14ac:dyDescent="0.25">
      <c r="A69" t="s">
        <v>1846</v>
      </c>
      <c r="B69" t="s">
        <v>1855</v>
      </c>
      <c r="C69" t="s">
        <v>1856</v>
      </c>
      <c r="D69" t="s">
        <v>67</v>
      </c>
      <c r="E69" s="13" t="s">
        <v>449</v>
      </c>
    </row>
    <row r="70" spans="1:5" x14ac:dyDescent="0.25">
      <c r="A70" t="s">
        <v>1831</v>
      </c>
      <c r="B70" t="s">
        <v>1832</v>
      </c>
      <c r="C70" t="s">
        <v>1833</v>
      </c>
      <c r="D70" t="s">
        <v>101</v>
      </c>
      <c r="E70" s="40" t="s">
        <v>9</v>
      </c>
    </row>
    <row r="71" spans="1:5" x14ac:dyDescent="0.25">
      <c r="A71" t="s">
        <v>1933</v>
      </c>
      <c r="B71" t="s">
        <v>1934</v>
      </c>
      <c r="C71" t="s">
        <v>1935</v>
      </c>
      <c r="D71" t="s">
        <v>77</v>
      </c>
      <c r="E71" s="40" t="s">
        <v>1715</v>
      </c>
    </row>
    <row r="72" spans="1:5" x14ac:dyDescent="0.25">
      <c r="A72" t="s">
        <v>1828</v>
      </c>
      <c r="B72" t="s">
        <v>1829</v>
      </c>
      <c r="C72" t="s">
        <v>1830</v>
      </c>
      <c r="D72" t="s">
        <v>57</v>
      </c>
      <c r="E72" s="40" t="s">
        <v>10</v>
      </c>
    </row>
    <row r="73" spans="1:5" x14ac:dyDescent="0.25">
      <c r="A73" t="s">
        <v>1769</v>
      </c>
      <c r="B73" t="s">
        <v>1770</v>
      </c>
      <c r="C73" t="s">
        <v>1771</v>
      </c>
      <c r="D73" t="s">
        <v>91</v>
      </c>
      <c r="E73" s="40" t="s">
        <v>10</v>
      </c>
    </row>
    <row r="74" spans="1:5" x14ac:dyDescent="0.25">
      <c r="A74" t="s">
        <v>1885</v>
      </c>
      <c r="B74" t="s">
        <v>1886</v>
      </c>
      <c r="C74" t="s">
        <v>1887</v>
      </c>
      <c r="D74" t="s">
        <v>68</v>
      </c>
      <c r="E74" s="13" t="s">
        <v>11</v>
      </c>
    </row>
    <row r="75" spans="1:5" x14ac:dyDescent="0.25">
      <c r="A75" t="s">
        <v>1831</v>
      </c>
      <c r="B75" t="s">
        <v>1863</v>
      </c>
      <c r="C75" t="s">
        <v>1864</v>
      </c>
      <c r="D75" t="s">
        <v>81</v>
      </c>
      <c r="E75" s="40" t="s">
        <v>44</v>
      </c>
    </row>
    <row r="76" spans="1:5" x14ac:dyDescent="0.25">
      <c r="A76" t="s">
        <v>1784</v>
      </c>
      <c r="B76" t="s">
        <v>1785</v>
      </c>
      <c r="C76" t="s">
        <v>1786</v>
      </c>
      <c r="D76" t="s">
        <v>8</v>
      </c>
      <c r="E76" s="40" t="s">
        <v>44</v>
      </c>
    </row>
    <row r="77" spans="1:5" x14ac:dyDescent="0.25">
      <c r="A77" t="s">
        <v>1843</v>
      </c>
      <c r="B77" t="s">
        <v>1844</v>
      </c>
      <c r="C77" t="s">
        <v>1845</v>
      </c>
      <c r="D77" t="s">
        <v>58</v>
      </c>
      <c r="E77" s="13" t="s">
        <v>2007</v>
      </c>
    </row>
    <row r="78" spans="1:5" x14ac:dyDescent="0.25">
      <c r="D78" t="s">
        <v>20</v>
      </c>
      <c r="E78" s="40" t="s">
        <v>32</v>
      </c>
    </row>
    <row r="79" spans="1:5" x14ac:dyDescent="0.25">
      <c r="D79" t="s">
        <v>112</v>
      </c>
      <c r="E79" s="13" t="s">
        <v>33</v>
      </c>
    </row>
    <row r="80" spans="1:5" x14ac:dyDescent="0.25">
      <c r="D80" t="s">
        <v>86</v>
      </c>
      <c r="E80" s="40" t="s">
        <v>33</v>
      </c>
    </row>
    <row r="81" spans="4:4" x14ac:dyDescent="0.25">
      <c r="D81" t="s">
        <v>59</v>
      </c>
    </row>
    <row r="82" spans="4:4" x14ac:dyDescent="0.25">
      <c r="D82" t="s">
        <v>69</v>
      </c>
    </row>
    <row r="83" spans="4:4" x14ac:dyDescent="0.25">
      <c r="D83" t="s">
        <v>113</v>
      </c>
    </row>
    <row r="84" spans="4:4" x14ac:dyDescent="0.25">
      <c r="D84" t="s">
        <v>60</v>
      </c>
    </row>
    <row r="85" spans="4:4" x14ac:dyDescent="0.25">
      <c r="D85" t="s">
        <v>90</v>
      </c>
    </row>
    <row r="86" spans="4:4" x14ac:dyDescent="0.25">
      <c r="D86" t="s">
        <v>9</v>
      </c>
    </row>
    <row r="87" spans="4:4" x14ac:dyDescent="0.25">
      <c r="D87" t="s">
        <v>84</v>
      </c>
    </row>
    <row r="88" spans="4:4" x14ac:dyDescent="0.25">
      <c r="D88" t="s">
        <v>10</v>
      </c>
    </row>
    <row r="89" spans="4:4" x14ac:dyDescent="0.25">
      <c r="D89" t="s">
        <v>23</v>
      </c>
    </row>
    <row r="90" spans="4:4" x14ac:dyDescent="0.25">
      <c r="D90" t="s">
        <v>11</v>
      </c>
    </row>
    <row r="91" spans="4:4" x14ac:dyDescent="0.25">
      <c r="D91" t="s">
        <v>32</v>
      </c>
    </row>
    <row r="92" spans="4:4" x14ac:dyDescent="0.25">
      <c r="D92" t="s">
        <v>12</v>
      </c>
    </row>
    <row r="93" spans="4:4" x14ac:dyDescent="0.25">
      <c r="D93" t="s">
        <v>106</v>
      </c>
    </row>
    <row r="94" spans="4:4" x14ac:dyDescent="0.25">
      <c r="D94" t="s">
        <v>33</v>
      </c>
    </row>
    <row r="95" spans="4:4" x14ac:dyDescent="0.25">
      <c r="D95" t="s">
        <v>34</v>
      </c>
    </row>
    <row r="118" spans="5:5" x14ac:dyDescent="0.25">
      <c r="E118" s="40"/>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M42"/>
  <sheetViews>
    <sheetView topLeftCell="I4" zoomScale="85" zoomScaleNormal="85" workbookViewId="0">
      <selection activeCell="I12" sqref="I12"/>
    </sheetView>
  </sheetViews>
  <sheetFormatPr defaultRowHeight="15" x14ac:dyDescent="0.25"/>
  <cols>
    <col min="1" max="1" width="37.28515625" customWidth="1"/>
    <col min="2" max="2" width="23" customWidth="1"/>
    <col min="3" max="3" width="33" customWidth="1"/>
    <col min="4" max="4" width="13" customWidth="1"/>
    <col min="5" max="5" width="37.7109375" customWidth="1"/>
    <col min="6" max="6" width="15.7109375" customWidth="1"/>
    <col min="7" max="7" width="23.42578125" customWidth="1"/>
    <col min="8" max="8" width="17.42578125" customWidth="1"/>
    <col min="9" max="9" width="45.5703125" customWidth="1"/>
    <col min="10" max="10" width="10.5703125" customWidth="1"/>
    <col min="11" max="11" width="32.42578125" customWidth="1"/>
    <col min="12" max="12" width="17.28515625" customWidth="1"/>
  </cols>
  <sheetData>
    <row r="1" spans="1:12" s="43" customFormat="1" ht="18" thickBot="1" x14ac:dyDescent="0.35">
      <c r="A1" s="43" t="s">
        <v>2033</v>
      </c>
      <c r="B1" s="43" t="s">
        <v>2034</v>
      </c>
      <c r="C1" s="43" t="s">
        <v>2032</v>
      </c>
      <c r="D1" s="43" t="s">
        <v>2035</v>
      </c>
      <c r="E1" s="43" t="s">
        <v>2033</v>
      </c>
      <c r="F1" s="43" t="s">
        <v>2034</v>
      </c>
      <c r="G1" s="43" t="s">
        <v>2032</v>
      </c>
      <c r="H1" s="43" t="s">
        <v>2035</v>
      </c>
      <c r="I1" s="43" t="s">
        <v>2033</v>
      </c>
      <c r="J1" s="43" t="s">
        <v>2034</v>
      </c>
      <c r="K1" s="43" t="s">
        <v>2032</v>
      </c>
      <c r="L1" s="43" t="s">
        <v>2035</v>
      </c>
    </row>
    <row r="2" spans="1:12" ht="15.75" thickTop="1" x14ac:dyDescent="0.25">
      <c r="A2" s="48" t="s">
        <v>107</v>
      </c>
      <c r="B2" s="49" t="s">
        <v>2155</v>
      </c>
      <c r="C2" s="48" t="s">
        <v>2156</v>
      </c>
      <c r="D2" s="48"/>
      <c r="E2" t="s">
        <v>29</v>
      </c>
      <c r="F2" t="s">
        <v>2077</v>
      </c>
      <c r="G2" t="s">
        <v>1938</v>
      </c>
      <c r="I2" t="s">
        <v>2036</v>
      </c>
      <c r="J2" t="s">
        <v>2051</v>
      </c>
      <c r="K2" t="s">
        <v>2052</v>
      </c>
    </row>
    <row r="3" spans="1:12" x14ac:dyDescent="0.25">
      <c r="A3" t="s">
        <v>48</v>
      </c>
      <c r="B3" t="s">
        <v>2047</v>
      </c>
      <c r="C3" t="s">
        <v>2048</v>
      </c>
      <c r="E3" t="s">
        <v>82</v>
      </c>
      <c r="F3" t="s">
        <v>1772</v>
      </c>
      <c r="G3" t="s">
        <v>1923</v>
      </c>
      <c r="I3" t="s">
        <v>103</v>
      </c>
      <c r="J3" t="s">
        <v>2111</v>
      </c>
      <c r="K3" t="s">
        <v>2112</v>
      </c>
    </row>
    <row r="4" spans="1:12" x14ac:dyDescent="0.25">
      <c r="A4" t="s">
        <v>62</v>
      </c>
      <c r="B4" t="s">
        <v>62</v>
      </c>
      <c r="C4" t="s">
        <v>2049</v>
      </c>
      <c r="D4" t="s">
        <v>2124</v>
      </c>
      <c r="I4" t="s">
        <v>76</v>
      </c>
      <c r="J4" t="s">
        <v>2092</v>
      </c>
      <c r="K4" t="s">
        <v>2093</v>
      </c>
    </row>
    <row r="5" spans="1:12" x14ac:dyDescent="0.25">
      <c r="A5" t="s">
        <v>88</v>
      </c>
      <c r="B5" t="s">
        <v>1784</v>
      </c>
      <c r="C5" t="s">
        <v>2050</v>
      </c>
      <c r="I5" t="s">
        <v>76</v>
      </c>
      <c r="J5" s="48" t="s">
        <v>2094</v>
      </c>
      <c r="K5" s="48" t="s">
        <v>2095</v>
      </c>
      <c r="L5" s="48"/>
    </row>
    <row r="6" spans="1:12" x14ac:dyDescent="0.25">
      <c r="A6" s="48" t="s">
        <v>109</v>
      </c>
      <c r="B6" s="48" t="s">
        <v>2157</v>
      </c>
      <c r="C6" s="48" t="s">
        <v>2158</v>
      </c>
      <c r="D6" s="48"/>
      <c r="I6" s="48" t="s">
        <v>105</v>
      </c>
      <c r="J6" s="48"/>
      <c r="K6" s="48"/>
    </row>
    <row r="7" spans="1:12" x14ac:dyDescent="0.25">
      <c r="A7" s="48" t="s">
        <v>110</v>
      </c>
      <c r="B7" s="48" t="s">
        <v>2159</v>
      </c>
      <c r="C7" s="50" t="s">
        <v>2160</v>
      </c>
      <c r="D7" s="48" t="s">
        <v>2128</v>
      </c>
      <c r="I7" s="48" t="s">
        <v>81</v>
      </c>
      <c r="J7" s="48"/>
      <c r="K7" s="48"/>
    </row>
    <row r="8" spans="1:12" x14ac:dyDescent="0.25">
      <c r="A8" s="48" t="s">
        <v>96</v>
      </c>
      <c r="B8" s="48"/>
      <c r="C8" s="48"/>
      <c r="D8" s="48" t="s">
        <v>2131</v>
      </c>
      <c r="I8" t="s">
        <v>34</v>
      </c>
      <c r="J8" s="48" t="s">
        <v>2149</v>
      </c>
      <c r="K8" s="48" t="s">
        <v>2148</v>
      </c>
    </row>
    <row r="9" spans="1:12" x14ac:dyDescent="0.25">
      <c r="A9" t="s">
        <v>50</v>
      </c>
      <c r="B9" t="s">
        <v>2068</v>
      </c>
      <c r="C9" t="s">
        <v>2069</v>
      </c>
      <c r="I9" t="s">
        <v>34</v>
      </c>
      <c r="J9" t="s">
        <v>2092</v>
      </c>
      <c r="K9" t="s">
        <v>2108</v>
      </c>
    </row>
    <row r="10" spans="1:12" x14ac:dyDescent="0.25">
      <c r="A10" t="s">
        <v>834</v>
      </c>
      <c r="B10" t="s">
        <v>1960</v>
      </c>
      <c r="C10" t="s">
        <v>2119</v>
      </c>
      <c r="I10" s="48" t="s">
        <v>218</v>
      </c>
      <c r="J10" s="48"/>
      <c r="K10" s="48"/>
    </row>
    <row r="11" spans="1:12" x14ac:dyDescent="0.25">
      <c r="A11" t="s">
        <v>65</v>
      </c>
      <c r="B11" t="s">
        <v>2080</v>
      </c>
      <c r="C11" t="s">
        <v>2081</v>
      </c>
      <c r="I11" s="46" t="s">
        <v>85</v>
      </c>
      <c r="J11" t="s">
        <v>1822</v>
      </c>
      <c r="K11" t="s">
        <v>1824</v>
      </c>
    </row>
    <row r="12" spans="1:12" x14ac:dyDescent="0.25">
      <c r="A12" t="s">
        <v>91</v>
      </c>
      <c r="B12" t="s">
        <v>2090</v>
      </c>
      <c r="C12" t="s">
        <v>2091</v>
      </c>
      <c r="D12" t="s">
        <v>2136</v>
      </c>
      <c r="I12" t="s">
        <v>83</v>
      </c>
      <c r="J12" t="s">
        <v>2045</v>
      </c>
      <c r="K12" t="s">
        <v>2046</v>
      </c>
    </row>
    <row r="13" spans="1:12" x14ac:dyDescent="0.25">
      <c r="A13" t="s">
        <v>58</v>
      </c>
      <c r="B13" t="s">
        <v>2100</v>
      </c>
      <c r="C13" t="s">
        <v>2101</v>
      </c>
      <c r="I13" t="s">
        <v>93</v>
      </c>
      <c r="J13" t="s">
        <v>2053</v>
      </c>
      <c r="K13" t="s">
        <v>2054</v>
      </c>
    </row>
    <row r="14" spans="1:12" x14ac:dyDescent="0.25">
      <c r="A14" t="s">
        <v>23</v>
      </c>
      <c r="B14" t="s">
        <v>1930</v>
      </c>
      <c r="C14" t="s">
        <v>2110</v>
      </c>
      <c r="I14" t="s">
        <v>49</v>
      </c>
      <c r="J14" t="s">
        <v>2057</v>
      </c>
      <c r="K14" t="s">
        <v>2058</v>
      </c>
    </row>
    <row r="15" spans="1:12" x14ac:dyDescent="0.25">
      <c r="I15" s="46" t="s">
        <v>64</v>
      </c>
      <c r="J15" t="s">
        <v>1871</v>
      </c>
      <c r="K15" t="s">
        <v>2073</v>
      </c>
    </row>
    <row r="16" spans="1:12" x14ac:dyDescent="0.25">
      <c r="I16" t="s">
        <v>71</v>
      </c>
      <c r="J16" t="s">
        <v>2084</v>
      </c>
      <c r="K16" t="s">
        <v>2085</v>
      </c>
    </row>
    <row r="17" spans="1:12" x14ac:dyDescent="0.25">
      <c r="I17" s="48" t="s">
        <v>111</v>
      </c>
      <c r="J17" s="48" t="s">
        <v>2175</v>
      </c>
      <c r="K17" s="49" t="s">
        <v>2174</v>
      </c>
    </row>
    <row r="18" spans="1:12" x14ac:dyDescent="0.25">
      <c r="I18" s="48" t="s">
        <v>111</v>
      </c>
      <c r="J18" s="48" t="s">
        <v>2173</v>
      </c>
      <c r="K18" s="49" t="s">
        <v>2172</v>
      </c>
    </row>
    <row r="19" spans="1:12" x14ac:dyDescent="0.25">
      <c r="I19" t="s">
        <v>99</v>
      </c>
      <c r="J19" t="s">
        <v>2086</v>
      </c>
      <c r="K19" t="s">
        <v>2087</v>
      </c>
      <c r="L19" s="48"/>
    </row>
    <row r="20" spans="1:12" ht="45" x14ac:dyDescent="0.25">
      <c r="A20" s="47" t="s">
        <v>2142</v>
      </c>
      <c r="I20" t="s">
        <v>100</v>
      </c>
      <c r="J20" t="s">
        <v>1846</v>
      </c>
      <c r="K20" t="s">
        <v>2088</v>
      </c>
      <c r="L20" s="48"/>
    </row>
    <row r="21" spans="1:12" ht="45" x14ac:dyDescent="0.25">
      <c r="A21" s="47" t="s">
        <v>2143</v>
      </c>
    </row>
    <row r="22" spans="1:12" ht="45" x14ac:dyDescent="0.25">
      <c r="A22" s="47" t="s">
        <v>2144</v>
      </c>
    </row>
    <row r="42" spans="13:13" x14ac:dyDescent="0.25">
      <c r="M42" t="s">
        <v>2152</v>
      </c>
    </row>
  </sheetData>
  <conditionalFormatting sqref="I10">
    <cfRule type="duplicateValues" dxfId="55" priority="2"/>
  </conditionalFormatting>
  <conditionalFormatting sqref="I11">
    <cfRule type="duplicateValues" dxfId="54" priority="1"/>
  </conditionalFormatting>
  <conditionalFormatting sqref="I12:I20">
    <cfRule type="duplicateValues" dxfId="53" priority="328"/>
  </conditionalFormatting>
  <conditionalFormatting sqref="A2:A15 E2:E3 I2:I9">
    <cfRule type="duplicateValues" dxfId="52" priority="337"/>
  </conditionalFormatting>
  <conditionalFormatting sqref="A2:A14 E2:E3 I2:I20">
    <cfRule type="duplicateValues" dxfId="51" priority="341"/>
  </conditionalFormatting>
  <hyperlinks>
    <hyperlink ref="A20" r:id="rId1" display="https://goo.gl/forms/gOwV3lMURtfnKAxj2"/>
    <hyperlink ref="A21" r:id="rId2" display="https://goo.gl/forms/4WppSgtbJnJMcXOI2"/>
    <hyperlink ref="A22" r:id="rId3" display="https://goo.gl/forms/fjsDRsp3SmRzcctO2"/>
    <hyperlink ref="C7" r:id="rId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10"/>
  <sheetViews>
    <sheetView workbookViewId="0">
      <selection activeCell="B8" sqref="B8"/>
    </sheetView>
  </sheetViews>
  <sheetFormatPr defaultColWidth="9.140625" defaultRowHeight="15" x14ac:dyDescent="0.25"/>
  <cols>
    <col min="1" max="1" width="19.28515625" style="52" customWidth="1"/>
    <col min="2" max="2" width="22.28515625" style="52" customWidth="1"/>
    <col min="3" max="3" width="20.140625" style="52" customWidth="1"/>
    <col min="4" max="4" width="17.7109375" style="52" customWidth="1"/>
    <col min="5" max="5" width="14.28515625" style="52" customWidth="1"/>
    <col min="6" max="6" width="17.140625" style="52" customWidth="1"/>
    <col min="7" max="7" width="18" style="52" customWidth="1"/>
    <col min="8" max="8" width="17.85546875" style="52" customWidth="1"/>
    <col min="9" max="9" width="18.140625" style="52" customWidth="1"/>
    <col min="10" max="10" width="20.7109375" style="52" customWidth="1"/>
    <col min="11" max="11" width="19.28515625" style="52" customWidth="1"/>
    <col min="12" max="16384" width="9.140625" style="52"/>
  </cols>
  <sheetData>
    <row r="1" spans="1:12" ht="18" thickBot="1" x14ac:dyDescent="0.35">
      <c r="A1" s="51" t="s">
        <v>2033</v>
      </c>
      <c r="B1" s="51" t="s">
        <v>2034</v>
      </c>
      <c r="C1" s="51" t="s">
        <v>2032</v>
      </c>
      <c r="D1" s="51" t="s">
        <v>2035</v>
      </c>
      <c r="E1" s="51" t="s">
        <v>2033</v>
      </c>
      <c r="F1" s="51" t="s">
        <v>2034</v>
      </c>
      <c r="G1" s="51" t="s">
        <v>2032</v>
      </c>
      <c r="H1" s="51" t="s">
        <v>2035</v>
      </c>
      <c r="I1" s="51" t="s">
        <v>2033</v>
      </c>
      <c r="J1" s="51" t="s">
        <v>2034</v>
      </c>
      <c r="K1" s="51" t="s">
        <v>2032</v>
      </c>
      <c r="L1" s="51" t="s">
        <v>2035</v>
      </c>
    </row>
    <row r="2" spans="1:12" ht="30.75" thickTop="1" x14ac:dyDescent="0.25">
      <c r="A2" s="53" t="s">
        <v>107</v>
      </c>
      <c r="B2" s="54" t="s">
        <v>2155</v>
      </c>
      <c r="C2" s="53" t="s">
        <v>2156</v>
      </c>
      <c r="D2" s="53"/>
      <c r="E2" s="53" t="s">
        <v>101</v>
      </c>
      <c r="F2" s="53" t="s">
        <v>2082</v>
      </c>
      <c r="G2" s="54" t="s">
        <v>2145</v>
      </c>
      <c r="I2" s="55" t="s">
        <v>21</v>
      </c>
      <c r="J2" s="54" t="s">
        <v>2153</v>
      </c>
      <c r="K2" s="54" t="s">
        <v>2154</v>
      </c>
      <c r="L2" s="55"/>
    </row>
    <row r="3" spans="1:12" ht="45" x14ac:dyDescent="0.25">
      <c r="A3" s="53" t="s">
        <v>109</v>
      </c>
      <c r="B3" s="53" t="s">
        <v>2157</v>
      </c>
      <c r="C3" s="53" t="s">
        <v>2158</v>
      </c>
      <c r="D3" s="53"/>
      <c r="E3" s="53" t="s">
        <v>101</v>
      </c>
      <c r="F3" s="53" t="s">
        <v>2147</v>
      </c>
      <c r="G3" s="54" t="s">
        <v>2146</v>
      </c>
      <c r="I3" s="54" t="s">
        <v>104</v>
      </c>
      <c r="J3" s="54" t="s">
        <v>2168</v>
      </c>
      <c r="K3" s="54" t="s">
        <v>2169</v>
      </c>
      <c r="L3" s="54" t="s">
        <v>2127</v>
      </c>
    </row>
    <row r="4" spans="1:12" ht="45" x14ac:dyDescent="0.25">
      <c r="A4" s="53" t="s">
        <v>110</v>
      </c>
      <c r="B4" s="53" t="s">
        <v>2159</v>
      </c>
      <c r="C4" s="56" t="s">
        <v>2160</v>
      </c>
      <c r="D4" s="53" t="s">
        <v>2128</v>
      </c>
      <c r="E4" s="52" t="s">
        <v>86</v>
      </c>
      <c r="F4" s="53" t="s">
        <v>2151</v>
      </c>
      <c r="G4" s="53" t="s">
        <v>2150</v>
      </c>
      <c r="I4" s="55" t="s">
        <v>76</v>
      </c>
      <c r="J4" s="54" t="s">
        <v>2094</v>
      </c>
      <c r="K4" s="54" t="s">
        <v>2095</v>
      </c>
      <c r="L4" s="55"/>
    </row>
    <row r="5" spans="1:12" ht="30" x14ac:dyDescent="0.25">
      <c r="A5" s="53" t="s">
        <v>113</v>
      </c>
      <c r="B5" s="53" t="s">
        <v>2161</v>
      </c>
      <c r="C5" s="53" t="s">
        <v>2162</v>
      </c>
      <c r="D5" s="53"/>
      <c r="E5" s="52" t="s">
        <v>86</v>
      </c>
      <c r="F5" s="53" t="s">
        <v>1814</v>
      </c>
      <c r="G5" s="53" t="s">
        <v>1816</v>
      </c>
      <c r="I5" s="55" t="s">
        <v>34</v>
      </c>
      <c r="J5" s="54" t="s">
        <v>2149</v>
      </c>
      <c r="K5" s="54" t="s">
        <v>2148</v>
      </c>
      <c r="L5" s="54"/>
    </row>
    <row r="6" spans="1:12" ht="30" x14ac:dyDescent="0.25">
      <c r="I6" s="54" t="s">
        <v>108</v>
      </c>
      <c r="J6" s="54" t="s">
        <v>2163</v>
      </c>
      <c r="K6" s="54" t="s">
        <v>2165</v>
      </c>
      <c r="L6" s="54" t="s">
        <v>2167</v>
      </c>
    </row>
    <row r="7" spans="1:12" ht="30" x14ac:dyDescent="0.25">
      <c r="I7" s="54" t="s">
        <v>108</v>
      </c>
      <c r="J7" s="54" t="s">
        <v>2164</v>
      </c>
      <c r="K7" s="54" t="s">
        <v>2166</v>
      </c>
      <c r="L7" s="54" t="s">
        <v>2167</v>
      </c>
    </row>
    <row r="8" spans="1:12" ht="45" x14ac:dyDescent="0.25">
      <c r="I8" s="54" t="s">
        <v>111</v>
      </c>
      <c r="J8" s="54" t="s">
        <v>2175</v>
      </c>
      <c r="K8" s="54" t="s">
        <v>2174</v>
      </c>
      <c r="L8" s="54"/>
    </row>
    <row r="9" spans="1:12" ht="45" x14ac:dyDescent="0.25">
      <c r="I9" s="54" t="s">
        <v>111</v>
      </c>
      <c r="J9" s="54" t="s">
        <v>2173</v>
      </c>
      <c r="K9" s="54" t="s">
        <v>2172</v>
      </c>
      <c r="L9" s="54" t="s">
        <v>2135</v>
      </c>
    </row>
    <row r="10" spans="1:12" ht="30" x14ac:dyDescent="0.25">
      <c r="I10" s="54" t="s">
        <v>112</v>
      </c>
      <c r="J10" s="54" t="s">
        <v>2170</v>
      </c>
      <c r="K10" s="54" t="s">
        <v>2171</v>
      </c>
      <c r="L10" s="54" t="s">
        <v>2129</v>
      </c>
    </row>
  </sheetData>
  <conditionalFormatting sqref="A2:A5">
    <cfRule type="duplicateValues" dxfId="50" priority="6"/>
  </conditionalFormatting>
  <conditionalFormatting sqref="A2:A5">
    <cfRule type="duplicateValues" dxfId="49" priority="7"/>
  </conditionalFormatting>
  <conditionalFormatting sqref="E2:E5">
    <cfRule type="duplicateValues" dxfId="48" priority="4"/>
  </conditionalFormatting>
  <conditionalFormatting sqref="E2:E5">
    <cfRule type="duplicateValues" dxfId="47" priority="5"/>
  </conditionalFormatting>
  <conditionalFormatting sqref="I3:I5 I2:J2">
    <cfRule type="duplicateValues" dxfId="46" priority="2"/>
  </conditionalFormatting>
  <conditionalFormatting sqref="I3:I10 I2:J2">
    <cfRule type="duplicateValues" dxfId="45" priority="3"/>
  </conditionalFormatting>
  <conditionalFormatting sqref="I6:I10">
    <cfRule type="duplicateValues" dxfId="44" priority="1"/>
  </conditionalFormatting>
  <hyperlinks>
    <hyperlink ref="C4" r:id="rId1"/>
    <hyperlink ref="G2" r:id="rId2" display="mailto:pheng@reclaim.care"/>
    <hyperlink ref="G3" r:id="rId3" display="mailto:saba@reclaim.care"/>
    <hyperlink ref="K2" r:id="rId4" display="mailto:Diane@dreamofwildhealth.org"/>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44"/>
  <sheetViews>
    <sheetView zoomScale="85" zoomScaleNormal="85" workbookViewId="0">
      <selection activeCell="B41" sqref="B41"/>
    </sheetView>
  </sheetViews>
  <sheetFormatPr defaultRowHeight="15" x14ac:dyDescent="0.25"/>
  <cols>
    <col min="1" max="1" width="37.28515625" customWidth="1"/>
    <col min="2" max="2" width="23" customWidth="1"/>
    <col min="3" max="3" width="33" customWidth="1"/>
    <col min="4" max="4" width="13" customWidth="1"/>
    <col min="5" max="5" width="37.7109375" customWidth="1"/>
    <col min="6" max="6" width="15.7109375" customWidth="1"/>
    <col min="7" max="7" width="23.42578125" customWidth="1"/>
    <col min="8" max="8" width="17.42578125" customWidth="1"/>
    <col min="9" max="9" width="45.5703125" customWidth="1"/>
    <col min="10" max="10" width="10.5703125" customWidth="1"/>
    <col min="11" max="11" width="32.42578125" customWidth="1"/>
    <col min="12" max="12" width="17.28515625" customWidth="1"/>
  </cols>
  <sheetData>
    <row r="1" spans="1:12" s="43" customFormat="1" ht="18" thickBot="1" x14ac:dyDescent="0.35">
      <c r="A1" s="43" t="s">
        <v>2033</v>
      </c>
      <c r="B1" s="43" t="s">
        <v>2034</v>
      </c>
      <c r="C1" s="43" t="s">
        <v>2032</v>
      </c>
      <c r="D1" s="43" t="s">
        <v>2035</v>
      </c>
      <c r="E1" s="43" t="s">
        <v>2033</v>
      </c>
      <c r="F1" s="43" t="s">
        <v>2034</v>
      </c>
      <c r="G1" s="43" t="s">
        <v>2032</v>
      </c>
      <c r="H1" s="43" t="s">
        <v>2035</v>
      </c>
      <c r="I1" s="43" t="s">
        <v>2033</v>
      </c>
      <c r="J1" s="43" t="s">
        <v>2034</v>
      </c>
      <c r="K1" s="43" t="s">
        <v>2032</v>
      </c>
      <c r="L1" s="43" t="s">
        <v>2035</v>
      </c>
    </row>
    <row r="2" spans="1:12" ht="15.75" thickTop="1" x14ac:dyDescent="0.25">
      <c r="A2" s="48" t="s">
        <v>107</v>
      </c>
      <c r="B2" s="49" t="s">
        <v>2155</v>
      </c>
      <c r="C2" s="48" t="s">
        <v>2156</v>
      </c>
      <c r="D2" s="48"/>
      <c r="E2" t="s">
        <v>70</v>
      </c>
      <c r="F2" t="s">
        <v>2041</v>
      </c>
      <c r="G2" t="s">
        <v>2042</v>
      </c>
      <c r="I2" t="s">
        <v>25</v>
      </c>
      <c r="J2" t="s">
        <v>2039</v>
      </c>
      <c r="K2" t="s">
        <v>2040</v>
      </c>
    </row>
    <row r="3" spans="1:12" x14ac:dyDescent="0.25">
      <c r="A3" t="s">
        <v>48</v>
      </c>
      <c r="B3" t="s">
        <v>2047</v>
      </c>
      <c r="C3" t="s">
        <v>2048</v>
      </c>
      <c r="E3" t="s">
        <v>92</v>
      </c>
      <c r="F3" t="s">
        <v>2055</v>
      </c>
      <c r="G3" t="s">
        <v>2056</v>
      </c>
      <c r="I3" t="s">
        <v>2036</v>
      </c>
      <c r="J3" t="s">
        <v>2051</v>
      </c>
      <c r="K3" t="s">
        <v>2052</v>
      </c>
    </row>
    <row r="4" spans="1:12" x14ac:dyDescent="0.25">
      <c r="A4" t="s">
        <v>62</v>
      </c>
      <c r="B4" t="s">
        <v>62</v>
      </c>
      <c r="C4" t="s">
        <v>2049</v>
      </c>
      <c r="D4" t="s">
        <v>2124</v>
      </c>
      <c r="E4" t="s">
        <v>5</v>
      </c>
      <c r="F4" t="s">
        <v>1787</v>
      </c>
      <c r="G4" t="s">
        <v>1956</v>
      </c>
      <c r="I4" t="s">
        <v>21</v>
      </c>
      <c r="J4" s="48" t="s">
        <v>2153</v>
      </c>
      <c r="K4" s="49" t="s">
        <v>2154</v>
      </c>
    </row>
    <row r="5" spans="1:12" x14ac:dyDescent="0.25">
      <c r="A5" t="s">
        <v>88</v>
      </c>
      <c r="B5" t="s">
        <v>1784</v>
      </c>
      <c r="C5" t="s">
        <v>2050</v>
      </c>
      <c r="E5" t="s">
        <v>53</v>
      </c>
      <c r="F5" t="s">
        <v>2075</v>
      </c>
      <c r="G5" t="s">
        <v>2076</v>
      </c>
      <c r="I5" t="s">
        <v>21</v>
      </c>
      <c r="J5" t="s">
        <v>1918</v>
      </c>
      <c r="K5" t="s">
        <v>1920</v>
      </c>
    </row>
    <row r="6" spans="1:12" x14ac:dyDescent="0.25">
      <c r="A6" s="48" t="s">
        <v>109</v>
      </c>
      <c r="B6" s="48" t="s">
        <v>2157</v>
      </c>
      <c r="C6" s="48" t="s">
        <v>2158</v>
      </c>
      <c r="D6" s="48"/>
      <c r="E6" t="s">
        <v>29</v>
      </c>
      <c r="F6" t="s">
        <v>2077</v>
      </c>
      <c r="G6" t="s">
        <v>1938</v>
      </c>
      <c r="I6" t="s">
        <v>74</v>
      </c>
      <c r="J6" t="s">
        <v>1775</v>
      </c>
      <c r="K6" t="s">
        <v>2072</v>
      </c>
      <c r="L6" t="s">
        <v>2139</v>
      </c>
    </row>
    <row r="7" spans="1:12" x14ac:dyDescent="0.25">
      <c r="A7" t="s">
        <v>94</v>
      </c>
      <c r="B7" t="s">
        <v>2059</v>
      </c>
      <c r="C7" t="s">
        <v>2060</v>
      </c>
      <c r="D7" t="s">
        <v>2127</v>
      </c>
      <c r="E7" t="s">
        <v>82</v>
      </c>
      <c r="F7" t="s">
        <v>1772</v>
      </c>
      <c r="G7" t="s">
        <v>1923</v>
      </c>
      <c r="I7" t="s">
        <v>103</v>
      </c>
      <c r="J7" t="s">
        <v>2111</v>
      </c>
      <c r="K7" t="s">
        <v>2112</v>
      </c>
    </row>
    <row r="8" spans="1:12" x14ac:dyDescent="0.25">
      <c r="A8" s="48" t="s">
        <v>110</v>
      </c>
      <c r="B8" s="48" t="s">
        <v>2159</v>
      </c>
      <c r="C8" s="50" t="s">
        <v>2160</v>
      </c>
      <c r="D8" s="48" t="s">
        <v>2128</v>
      </c>
      <c r="E8" s="48" t="s">
        <v>101</v>
      </c>
      <c r="F8" s="48" t="s">
        <v>2082</v>
      </c>
      <c r="G8" s="49" t="s">
        <v>2145</v>
      </c>
      <c r="I8" s="48" t="s">
        <v>104</v>
      </c>
      <c r="J8" s="48" t="s">
        <v>2168</v>
      </c>
      <c r="K8" s="48" t="s">
        <v>2169</v>
      </c>
      <c r="L8" s="48" t="s">
        <v>2127</v>
      </c>
    </row>
    <row r="9" spans="1:12" x14ac:dyDescent="0.25">
      <c r="A9" s="48" t="s">
        <v>96</v>
      </c>
      <c r="B9" s="48"/>
      <c r="C9" s="48"/>
      <c r="D9" s="48" t="s">
        <v>2131</v>
      </c>
      <c r="E9" s="48" t="s">
        <v>101</v>
      </c>
      <c r="F9" s="48" t="s">
        <v>2147</v>
      </c>
      <c r="G9" s="49" t="s">
        <v>2146</v>
      </c>
      <c r="I9" t="s">
        <v>76</v>
      </c>
      <c r="J9" t="s">
        <v>2092</v>
      </c>
      <c r="K9" t="s">
        <v>2093</v>
      </c>
    </row>
    <row r="10" spans="1:12" x14ac:dyDescent="0.25">
      <c r="A10" t="s">
        <v>97</v>
      </c>
      <c r="B10" t="s">
        <v>2065</v>
      </c>
      <c r="C10" t="s">
        <v>2066</v>
      </c>
      <c r="E10" t="s">
        <v>101</v>
      </c>
      <c r="F10" t="s">
        <v>1945</v>
      </c>
      <c r="G10" t="s">
        <v>1947</v>
      </c>
      <c r="I10" t="s">
        <v>76</v>
      </c>
      <c r="J10" s="48" t="s">
        <v>2094</v>
      </c>
      <c r="K10" s="48" t="s">
        <v>2095</v>
      </c>
    </row>
    <row r="11" spans="1:12" x14ac:dyDescent="0.25">
      <c r="A11" t="s">
        <v>50</v>
      </c>
      <c r="B11" t="s">
        <v>2068</v>
      </c>
      <c r="C11" t="s">
        <v>2069</v>
      </c>
      <c r="E11" t="s">
        <v>77</v>
      </c>
      <c r="F11" t="s">
        <v>2089</v>
      </c>
      <c r="G11" t="s">
        <v>1798</v>
      </c>
      <c r="I11" s="48" t="s">
        <v>105</v>
      </c>
      <c r="J11" s="48"/>
      <c r="K11" s="48"/>
      <c r="L11" s="48"/>
    </row>
    <row r="12" spans="1:12" x14ac:dyDescent="0.25">
      <c r="A12" t="s">
        <v>98</v>
      </c>
      <c r="B12" t="s">
        <v>2070</v>
      </c>
      <c r="C12" t="s">
        <v>2071</v>
      </c>
      <c r="E12" t="s">
        <v>86</v>
      </c>
      <c r="F12" s="48" t="s">
        <v>2151</v>
      </c>
      <c r="G12" s="48" t="s">
        <v>2150</v>
      </c>
      <c r="I12" t="s">
        <v>6</v>
      </c>
      <c r="J12" t="s">
        <v>2096</v>
      </c>
      <c r="K12" t="s">
        <v>2097</v>
      </c>
    </row>
    <row r="13" spans="1:12" x14ac:dyDescent="0.25">
      <c r="A13" t="s">
        <v>28</v>
      </c>
      <c r="B13" t="s">
        <v>2074</v>
      </c>
      <c r="C13" t="s">
        <v>2120</v>
      </c>
      <c r="E13" t="s">
        <v>86</v>
      </c>
      <c r="F13" s="48" t="s">
        <v>1814</v>
      </c>
      <c r="G13" s="48" t="s">
        <v>1816</v>
      </c>
      <c r="I13" t="s">
        <v>75</v>
      </c>
      <c r="J13" t="s">
        <v>2113</v>
      </c>
      <c r="K13" t="s">
        <v>2114</v>
      </c>
    </row>
    <row r="14" spans="1:12" x14ac:dyDescent="0.25">
      <c r="A14" t="s">
        <v>834</v>
      </c>
      <c r="B14" t="s">
        <v>1960</v>
      </c>
      <c r="C14" t="s">
        <v>2119</v>
      </c>
      <c r="E14" t="s">
        <v>86</v>
      </c>
      <c r="F14" t="s">
        <v>2098</v>
      </c>
      <c r="G14" t="s">
        <v>2099</v>
      </c>
      <c r="I14" s="48" t="s">
        <v>81</v>
      </c>
      <c r="J14" s="48"/>
      <c r="K14" s="48"/>
      <c r="L14" s="48" t="s">
        <v>2140</v>
      </c>
    </row>
    <row r="15" spans="1:12" x14ac:dyDescent="0.25">
      <c r="A15" t="s">
        <v>65</v>
      </c>
      <c r="B15" t="s">
        <v>2080</v>
      </c>
      <c r="C15" t="s">
        <v>2081</v>
      </c>
      <c r="E15" t="s">
        <v>10</v>
      </c>
      <c r="F15" t="s">
        <v>1831</v>
      </c>
      <c r="G15" t="s">
        <v>1833</v>
      </c>
      <c r="I15" t="s">
        <v>90</v>
      </c>
      <c r="J15" t="s">
        <v>2086</v>
      </c>
      <c r="K15" t="s">
        <v>2109</v>
      </c>
      <c r="L15" t="s">
        <v>2141</v>
      </c>
    </row>
    <row r="16" spans="1:12" x14ac:dyDescent="0.25">
      <c r="A16" t="s">
        <v>91</v>
      </c>
      <c r="B16" t="s">
        <v>2090</v>
      </c>
      <c r="C16" t="s">
        <v>2091</v>
      </c>
      <c r="D16" t="s">
        <v>2136</v>
      </c>
      <c r="I16" t="s">
        <v>106</v>
      </c>
      <c r="J16" t="s">
        <v>2106</v>
      </c>
      <c r="K16" t="s">
        <v>2107</v>
      </c>
    </row>
    <row r="17" spans="1:12" x14ac:dyDescent="0.25">
      <c r="A17" t="s">
        <v>8</v>
      </c>
      <c r="B17" t="s">
        <v>2117</v>
      </c>
      <c r="C17" t="s">
        <v>2118</v>
      </c>
      <c r="I17" t="s">
        <v>34</v>
      </c>
      <c r="J17" s="48" t="s">
        <v>2149</v>
      </c>
      <c r="K17" s="48" t="s">
        <v>2148</v>
      </c>
      <c r="L17" s="48"/>
    </row>
    <row r="18" spans="1:12" x14ac:dyDescent="0.25">
      <c r="A18" t="s">
        <v>58</v>
      </c>
      <c r="B18" t="s">
        <v>2100</v>
      </c>
      <c r="C18" t="s">
        <v>2101</v>
      </c>
      <c r="I18" t="s">
        <v>34</v>
      </c>
      <c r="J18" t="s">
        <v>2092</v>
      </c>
      <c r="K18" t="s">
        <v>2108</v>
      </c>
    </row>
    <row r="19" spans="1:12" x14ac:dyDescent="0.25">
      <c r="A19" s="48" t="s">
        <v>113</v>
      </c>
      <c r="B19" s="48" t="s">
        <v>2161</v>
      </c>
      <c r="C19" s="48" t="s">
        <v>2162</v>
      </c>
      <c r="D19" s="48"/>
      <c r="I19" t="s">
        <v>11</v>
      </c>
      <c r="J19" t="s">
        <v>2104</v>
      </c>
      <c r="K19" t="s">
        <v>2105</v>
      </c>
      <c r="L19" t="s">
        <v>2127</v>
      </c>
    </row>
    <row r="20" spans="1:12" x14ac:dyDescent="0.25">
      <c r="A20" t="s">
        <v>23</v>
      </c>
      <c r="B20" t="s">
        <v>1930</v>
      </c>
      <c r="C20" t="s">
        <v>2110</v>
      </c>
      <c r="I20" t="s">
        <v>12</v>
      </c>
      <c r="J20" t="s">
        <v>1885</v>
      </c>
      <c r="K20" t="s">
        <v>1887</v>
      </c>
    </row>
    <row r="21" spans="1:12" x14ac:dyDescent="0.25">
      <c r="I21" s="48" t="s">
        <v>218</v>
      </c>
      <c r="J21" s="48"/>
      <c r="K21" s="48"/>
      <c r="L21" s="48"/>
    </row>
    <row r="22" spans="1:12" x14ac:dyDescent="0.25">
      <c r="I22" s="46" t="s">
        <v>85</v>
      </c>
      <c r="J22" t="s">
        <v>1822</v>
      </c>
      <c r="K22" t="s">
        <v>1824</v>
      </c>
    </row>
    <row r="23" spans="1:12" x14ac:dyDescent="0.25">
      <c r="I23" t="s">
        <v>89</v>
      </c>
      <c r="J23" t="s">
        <v>2037</v>
      </c>
      <c r="K23" t="s">
        <v>2038</v>
      </c>
      <c r="L23" t="s">
        <v>2122</v>
      </c>
    </row>
    <row r="24" spans="1:12" x14ac:dyDescent="0.25">
      <c r="I24" t="s">
        <v>87</v>
      </c>
      <c r="J24" t="s">
        <v>2043</v>
      </c>
      <c r="K24" t="s">
        <v>2044</v>
      </c>
      <c r="L24" t="s">
        <v>2123</v>
      </c>
    </row>
    <row r="25" spans="1:12" x14ac:dyDescent="0.25">
      <c r="I25" t="s">
        <v>83</v>
      </c>
      <c r="J25" t="s">
        <v>2045</v>
      </c>
      <c r="K25" t="s">
        <v>2046</v>
      </c>
      <c r="L25" t="s">
        <v>2123</v>
      </c>
    </row>
    <row r="26" spans="1:12" ht="45" x14ac:dyDescent="0.25">
      <c r="A26" s="47" t="s">
        <v>2142</v>
      </c>
      <c r="I26" t="s">
        <v>93</v>
      </c>
      <c r="J26" t="s">
        <v>2053</v>
      </c>
      <c r="K26" t="s">
        <v>2054</v>
      </c>
      <c r="L26" t="s">
        <v>2125</v>
      </c>
    </row>
    <row r="27" spans="1:12" ht="45" x14ac:dyDescent="0.25">
      <c r="A27" s="47" t="s">
        <v>2143</v>
      </c>
      <c r="I27" s="48" t="s">
        <v>108</v>
      </c>
      <c r="J27" s="48" t="s">
        <v>2163</v>
      </c>
      <c r="K27" s="48" t="s">
        <v>2165</v>
      </c>
      <c r="L27" s="48" t="s">
        <v>2167</v>
      </c>
    </row>
    <row r="28" spans="1:12" ht="45" x14ac:dyDescent="0.25">
      <c r="A28" s="47" t="s">
        <v>2144</v>
      </c>
      <c r="I28" s="48" t="s">
        <v>108</v>
      </c>
      <c r="J28" s="48" t="s">
        <v>2164</v>
      </c>
      <c r="K28" s="48" t="s">
        <v>2166</v>
      </c>
      <c r="L28" s="48" t="s">
        <v>2167</v>
      </c>
    </row>
    <row r="29" spans="1:12" x14ac:dyDescent="0.25">
      <c r="I29" t="s">
        <v>49</v>
      </c>
      <c r="J29" t="s">
        <v>2057</v>
      </c>
      <c r="K29" t="s">
        <v>2058</v>
      </c>
      <c r="L29" t="s">
        <v>2126</v>
      </c>
    </row>
    <row r="30" spans="1:12" x14ac:dyDescent="0.25">
      <c r="I30" t="s">
        <v>78</v>
      </c>
      <c r="J30" t="s">
        <v>2061</v>
      </c>
      <c r="K30" t="s">
        <v>2062</v>
      </c>
      <c r="L30" t="s">
        <v>2129</v>
      </c>
    </row>
    <row r="31" spans="1:12" x14ac:dyDescent="0.25">
      <c r="I31" t="s">
        <v>40</v>
      </c>
      <c r="J31" t="s">
        <v>2063</v>
      </c>
      <c r="K31" t="s">
        <v>2064</v>
      </c>
      <c r="L31" t="s">
        <v>2130</v>
      </c>
    </row>
    <row r="32" spans="1:12" x14ac:dyDescent="0.25">
      <c r="I32" t="s">
        <v>2011</v>
      </c>
      <c r="J32" t="s">
        <v>1930</v>
      </c>
      <c r="L32" t="s">
        <v>2133</v>
      </c>
    </row>
    <row r="33" spans="9:13" x14ac:dyDescent="0.25">
      <c r="I33" t="s">
        <v>63</v>
      </c>
      <c r="J33" t="s">
        <v>1915</v>
      </c>
      <c r="K33" t="s">
        <v>2067</v>
      </c>
      <c r="L33" t="s">
        <v>2129</v>
      </c>
    </row>
    <row r="34" spans="9:13" x14ac:dyDescent="0.25">
      <c r="I34" s="46" t="s">
        <v>64</v>
      </c>
      <c r="J34" t="s">
        <v>1871</v>
      </c>
      <c r="K34" t="s">
        <v>2073</v>
      </c>
      <c r="L34" t="s">
        <v>2132</v>
      </c>
    </row>
    <row r="35" spans="9:13" x14ac:dyDescent="0.25">
      <c r="I35" t="s">
        <v>66</v>
      </c>
      <c r="J35" t="s">
        <v>2078</v>
      </c>
      <c r="K35" t="s">
        <v>2079</v>
      </c>
      <c r="L35" t="s">
        <v>2134</v>
      </c>
    </row>
    <row r="36" spans="9:13" x14ac:dyDescent="0.25">
      <c r="I36" t="s">
        <v>30</v>
      </c>
      <c r="J36" t="s">
        <v>2082</v>
      </c>
      <c r="K36" t="s">
        <v>2083</v>
      </c>
      <c r="L36" t="s">
        <v>2132</v>
      </c>
    </row>
    <row r="37" spans="9:13" x14ac:dyDescent="0.25">
      <c r="I37" t="s">
        <v>71</v>
      </c>
      <c r="J37" t="s">
        <v>2084</v>
      </c>
      <c r="K37" t="s">
        <v>2085</v>
      </c>
      <c r="L37" t="s">
        <v>2129</v>
      </c>
    </row>
    <row r="38" spans="9:13" x14ac:dyDescent="0.25">
      <c r="I38" s="48" t="s">
        <v>111</v>
      </c>
      <c r="J38" s="48" t="s">
        <v>2175</v>
      </c>
      <c r="K38" s="49" t="s">
        <v>2174</v>
      </c>
      <c r="L38" s="48"/>
    </row>
    <row r="39" spans="9:13" x14ac:dyDescent="0.25">
      <c r="I39" s="48" t="s">
        <v>111</v>
      </c>
      <c r="J39" s="48" t="s">
        <v>2173</v>
      </c>
      <c r="K39" s="49" t="s">
        <v>2172</v>
      </c>
      <c r="L39" s="48" t="s">
        <v>2135</v>
      </c>
    </row>
    <row r="40" spans="9:13" x14ac:dyDescent="0.25">
      <c r="I40" t="s">
        <v>99</v>
      </c>
      <c r="J40" t="s">
        <v>2086</v>
      </c>
      <c r="K40" t="s">
        <v>2087</v>
      </c>
      <c r="L40" t="s">
        <v>2135</v>
      </c>
    </row>
    <row r="41" spans="9:13" x14ac:dyDescent="0.25">
      <c r="I41" t="s">
        <v>100</v>
      </c>
      <c r="J41" t="s">
        <v>1846</v>
      </c>
      <c r="K41" t="s">
        <v>2088</v>
      </c>
      <c r="L41" t="s">
        <v>2135</v>
      </c>
    </row>
    <row r="42" spans="9:13" x14ac:dyDescent="0.25">
      <c r="I42" s="48" t="s">
        <v>112</v>
      </c>
      <c r="J42" s="48" t="s">
        <v>2170</v>
      </c>
      <c r="K42" s="48" t="s">
        <v>2171</v>
      </c>
      <c r="L42" s="48" t="s">
        <v>2129</v>
      </c>
      <c r="M42" t="s">
        <v>2152</v>
      </c>
    </row>
    <row r="43" spans="9:13" x14ac:dyDescent="0.25">
      <c r="I43" t="s">
        <v>59</v>
      </c>
      <c r="J43" t="s">
        <v>2102</v>
      </c>
      <c r="K43" t="s">
        <v>2103</v>
      </c>
      <c r="L43" t="s">
        <v>2137</v>
      </c>
    </row>
    <row r="44" spans="9:13" x14ac:dyDescent="0.25">
      <c r="I44" t="s">
        <v>9</v>
      </c>
      <c r="J44" t="s">
        <v>2115</v>
      </c>
      <c r="K44" t="s">
        <v>2116</v>
      </c>
      <c r="L44" t="s">
        <v>2138</v>
      </c>
    </row>
  </sheetData>
  <conditionalFormatting sqref="I19">
    <cfRule type="duplicateValues" dxfId="43" priority="7"/>
  </conditionalFormatting>
  <conditionalFormatting sqref="I20">
    <cfRule type="duplicateValues" dxfId="42" priority="5"/>
  </conditionalFormatting>
  <conditionalFormatting sqref="I21">
    <cfRule type="duplicateValues" dxfId="41" priority="4"/>
  </conditionalFormatting>
  <conditionalFormatting sqref="I22">
    <cfRule type="duplicateValues" dxfId="40" priority="3"/>
  </conditionalFormatting>
  <conditionalFormatting sqref="I23 A2:A21 E2:E15 J4 I2:I18">
    <cfRule type="duplicateValues" dxfId="39" priority="164"/>
  </conditionalFormatting>
  <conditionalFormatting sqref="I24:I44">
    <cfRule type="duplicateValues" dxfId="38" priority="190"/>
  </conditionalFormatting>
  <conditionalFormatting sqref="A2:A20 E2:E15 J4 I2:I44">
    <cfRule type="duplicateValues" dxfId="37" priority="192"/>
  </conditionalFormatting>
  <hyperlinks>
    <hyperlink ref="G2" r:id="rId1"/>
    <hyperlink ref="K23" r:id="rId2"/>
    <hyperlink ref="A26" r:id="rId3" display="https://goo.gl/forms/gOwV3lMURtfnKAxj2"/>
    <hyperlink ref="A27" r:id="rId4" display="https://goo.gl/forms/4WppSgtbJnJMcXOI2"/>
    <hyperlink ref="A28" r:id="rId5" display="https://goo.gl/forms/fjsDRsp3SmRzcctO2"/>
    <hyperlink ref="G8" r:id="rId6" display="mailto:pheng@reclaim.care"/>
    <hyperlink ref="G9" r:id="rId7" display="mailto:saba@reclaim.care"/>
    <hyperlink ref="K4" r:id="rId8" display="mailto:Diane@dreamofwildhealth.org"/>
    <hyperlink ref="C8" r:id="rId9"/>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8"/>
  <sheetViews>
    <sheetView workbookViewId="0">
      <pane ySplit="1" topLeftCell="A2" activePane="bottomLeft" state="frozen"/>
      <selection pane="bottomLeft" activeCell="C70" sqref="C70"/>
    </sheetView>
  </sheetViews>
  <sheetFormatPr defaultColWidth="9.140625" defaultRowHeight="15" x14ac:dyDescent="0.25"/>
  <cols>
    <col min="1" max="1" width="38.5703125" style="26" customWidth="1"/>
    <col min="2" max="2" width="23.7109375" style="1" customWidth="1"/>
    <col min="3" max="3" width="11.140625" style="1" customWidth="1"/>
    <col min="4" max="4" width="15.5703125" style="1" customWidth="1"/>
    <col min="5" max="7" width="24.85546875" style="1" customWidth="1"/>
    <col min="8" max="9" width="9.140625" style="1"/>
    <col min="10" max="10" width="34.7109375" style="1" customWidth="1"/>
    <col min="11" max="11" width="23.85546875" style="1" customWidth="1"/>
    <col min="12" max="16384" width="9.140625" style="1"/>
  </cols>
  <sheetData>
    <row r="1" spans="1:14" s="31" customFormat="1" ht="15.75" thickBot="1" x14ac:dyDescent="0.3">
      <c r="A1" s="31" t="s">
        <v>1992</v>
      </c>
      <c r="B1" s="31" t="s">
        <v>1</v>
      </c>
      <c r="C1" s="31" t="s">
        <v>13</v>
      </c>
      <c r="D1" s="31" t="s">
        <v>1977</v>
      </c>
      <c r="E1" s="31" t="s">
        <v>2024</v>
      </c>
      <c r="F1" s="31" t="s">
        <v>2028</v>
      </c>
      <c r="G1" s="31" t="s">
        <v>1757</v>
      </c>
      <c r="J1" s="37"/>
      <c r="K1" s="37"/>
      <c r="L1" s="37"/>
      <c r="M1" s="37"/>
      <c r="N1" s="37"/>
    </row>
    <row r="2" spans="1:14" ht="30" x14ac:dyDescent="0.25">
      <c r="A2" s="26" t="str">
        <f>Workbook2!B2</f>
        <v xml:space="preserve">African Career and Education Resource, Inc (ACER, Inc) </v>
      </c>
      <c r="B2" s="1" t="str">
        <f>Workbook2!A2</f>
        <v>CIG</v>
      </c>
      <c r="C2" s="1" t="str">
        <f t="shared" ref="C2:C33" si="0">IF(OR(IFERROR(SEARCH("FSC", B2)&lt;&gt;0,FALSE),IFERROR(SEARCH("GP", B2)&lt;&gt;0,FALSE),IFERROR(SEARCH("SCF", B2)&lt;&gt;0,FALSE)), TRUE, "")</f>
        <v/>
      </c>
      <c r="D2" s="1" t="b">
        <f>'Convening Attendees'!J2&lt;&gt;""</f>
        <v>1</v>
      </c>
      <c r="E2" s="1" t="b">
        <f>NOT(OR(Table5[[#This Row],[POC led?]],D2))</f>
        <v>0</v>
      </c>
      <c r="G2" s="42" t="s">
        <v>2023</v>
      </c>
      <c r="N2" s="38"/>
    </row>
    <row r="3" spans="1:14" x14ac:dyDescent="0.25">
      <c r="A3" s="26" t="str">
        <f>Workbook2!B3</f>
        <v>Afro American Development Association</v>
      </c>
      <c r="B3" s="1" t="str">
        <f>Workbook2!A3</f>
        <v>CIG</v>
      </c>
      <c r="C3" s="1" t="str">
        <f t="shared" si="0"/>
        <v/>
      </c>
      <c r="D3" s="1" t="b">
        <f>'Convening Attendees'!J3&lt;&gt;""</f>
        <v>0</v>
      </c>
      <c r="E3" s="1" t="b">
        <f>NOT(OR(Table5[[#This Row],[POC led?]],D3))</f>
        <v>1</v>
      </c>
      <c r="F3" s="1" t="b">
        <v>1</v>
      </c>
      <c r="N3" s="38"/>
    </row>
    <row r="4" spans="1:14" x14ac:dyDescent="0.25">
      <c r="A4" s="26" t="str">
        <f>Workbook2!B4</f>
        <v>AfroEco</v>
      </c>
      <c r="B4" s="1" t="str">
        <f>Workbook2!A4</f>
        <v>CIG</v>
      </c>
      <c r="C4" s="1" t="str">
        <f t="shared" si="0"/>
        <v/>
      </c>
      <c r="D4" s="1" t="b">
        <f>'Convening Attendees'!J4&lt;&gt;""</f>
        <v>0</v>
      </c>
      <c r="E4" s="1" t="b">
        <f>NOT(OR(Table5[[#This Row],[POC led?]],D4))</f>
        <v>1</v>
      </c>
      <c r="G4" s="1" t="s">
        <v>2025</v>
      </c>
      <c r="H4" s="1">
        <f>COUNTIF(E2:E98, TRUE)</f>
        <v>43</v>
      </c>
      <c r="N4" s="38"/>
    </row>
    <row r="5" spans="1:14" ht="50.25" customHeight="1" x14ac:dyDescent="0.25">
      <c r="A5" s="26" t="str">
        <f>Workbook2!B5</f>
        <v>All Parks Alliance for Change</v>
      </c>
      <c r="B5" s="1" t="str">
        <f>Workbook2!A5</f>
        <v>CIG</v>
      </c>
      <c r="C5" s="1" t="str">
        <f t="shared" si="0"/>
        <v/>
      </c>
      <c r="D5" s="1" t="b">
        <f>'Convening Attendees'!J5&lt;&gt;""</f>
        <v>1</v>
      </c>
      <c r="E5" s="1" t="b">
        <f>NOT(OR(Table5[[#This Row],[POC led?]],D5))</f>
        <v>0</v>
      </c>
      <c r="G5" s="1" t="s">
        <v>2029</v>
      </c>
      <c r="N5" s="38"/>
    </row>
    <row r="6" spans="1:14" x14ac:dyDescent="0.25">
      <c r="A6" s="26" t="str">
        <f>Workbook2!B6</f>
        <v>Alliance for Sustainability</v>
      </c>
      <c r="B6" s="1" t="str">
        <f>Workbook2!A6</f>
        <v>CIG</v>
      </c>
      <c r="C6" s="1" t="str">
        <f t="shared" si="0"/>
        <v/>
      </c>
      <c r="D6" s="1" t="b">
        <v>0</v>
      </c>
      <c r="E6" s="1" t="b">
        <f>NOT(OR(Table5[[#This Row],[POC led?]],D6))</f>
        <v>1</v>
      </c>
      <c r="N6" s="38"/>
    </row>
    <row r="7" spans="1:14" x14ac:dyDescent="0.25">
      <c r="A7" s="26" t="str">
        <f>Workbook2!B7</f>
        <v>American Indian Family Center</v>
      </c>
      <c r="B7" s="1" t="str">
        <f>Workbook2!A7</f>
        <v>CIG</v>
      </c>
      <c r="C7" s="1" t="str">
        <f t="shared" si="0"/>
        <v/>
      </c>
      <c r="D7" s="1" t="b">
        <f>'Convening Attendees'!J7&lt;&gt;""</f>
        <v>1</v>
      </c>
      <c r="E7" s="1" t="b">
        <f>NOT(OR(Table5[[#This Row],[POC led?]],D7))</f>
        <v>0</v>
      </c>
      <c r="N7" s="38"/>
    </row>
    <row r="8" spans="1:14" ht="30" x14ac:dyDescent="0.25">
      <c r="A8" s="26" t="str">
        <f>Workbook2!B8</f>
        <v>American Indian Movement Interpretive Center</v>
      </c>
      <c r="B8" s="1" t="str">
        <f>Workbook2!A8</f>
        <v>CIG</v>
      </c>
      <c r="C8" s="1" t="str">
        <f t="shared" si="0"/>
        <v/>
      </c>
      <c r="D8" s="1" t="b">
        <f>'Convening Attendees'!J8&lt;&gt;""</f>
        <v>0</v>
      </c>
      <c r="E8" s="1" t="b">
        <f>NOT(OR(Table5[[#This Row],[POC led?]],D8))</f>
        <v>1</v>
      </c>
      <c r="N8" s="38"/>
    </row>
    <row r="9" spans="1:14" x14ac:dyDescent="0.25">
      <c r="A9" s="26" t="str">
        <f>Workbook2!B9</f>
        <v>Ananya Dance Theatre</v>
      </c>
      <c r="B9" s="1" t="str">
        <f>Workbook2!A9</f>
        <v>CIG</v>
      </c>
      <c r="C9" s="1" t="str">
        <f t="shared" si="0"/>
        <v/>
      </c>
      <c r="D9" s="1" t="b">
        <f>'Convening Attendees'!J9&lt;&gt;""</f>
        <v>1</v>
      </c>
      <c r="E9" s="1" t="b">
        <f>NOT(OR(Table5[[#This Row],[POC led?]],D9))</f>
        <v>0</v>
      </c>
      <c r="N9" s="38"/>
    </row>
    <row r="10" spans="1:14" x14ac:dyDescent="0.25">
      <c r="A10" s="26" t="str">
        <f>Workbook2!B10</f>
        <v>Appetite for Change</v>
      </c>
      <c r="B10" s="1" t="str">
        <f>Workbook2!A10</f>
        <v>CIG; CIG</v>
      </c>
      <c r="C10" s="1" t="str">
        <f t="shared" si="0"/>
        <v/>
      </c>
      <c r="D10" s="1" t="b">
        <f>'Convening Attendees'!J10&lt;&gt;""</f>
        <v>1</v>
      </c>
      <c r="E10" s="1" t="b">
        <f>NOT(OR(Table5[[#This Row],[POC led?]],D10))</f>
        <v>0</v>
      </c>
      <c r="N10" s="38"/>
    </row>
    <row r="11" spans="1:14" x14ac:dyDescent="0.25">
      <c r="A11" s="33" t="str">
        <f>Workbook2!B11</f>
        <v>Asian American Organizing Project</v>
      </c>
      <c r="B11" s="1" t="str">
        <f>Workbook2!A11</f>
        <v>GP; GP; CIG</v>
      </c>
      <c r="C11" s="1" t="b">
        <f t="shared" si="0"/>
        <v>1</v>
      </c>
      <c r="D11" s="1" t="b">
        <f>'Convening Attendees'!J11&lt;&gt;""</f>
        <v>1</v>
      </c>
      <c r="E11" s="1" t="b">
        <f>NOT(OR(Table5[[#This Row],[POC led?]],D11))</f>
        <v>0</v>
      </c>
      <c r="N11" s="38"/>
    </row>
    <row r="12" spans="1:14" ht="30" x14ac:dyDescent="0.25">
      <c r="A12" s="26" t="str">
        <f>Workbook2!B12</f>
        <v>Asian Economic Development Association</v>
      </c>
      <c r="B12" s="1" t="str">
        <f>Workbook2!A12</f>
        <v>CIG</v>
      </c>
      <c r="C12" s="1" t="str">
        <f t="shared" si="0"/>
        <v/>
      </c>
      <c r="D12" s="1" t="b">
        <f>'Convening Attendees'!J12&lt;&gt;""</f>
        <v>0</v>
      </c>
      <c r="E12" s="1" t="b">
        <f>NOT(OR(Table5[[#This Row],[POC led?]],D12))</f>
        <v>1</v>
      </c>
      <c r="N12" s="38"/>
    </row>
    <row r="13" spans="1:14" x14ac:dyDescent="0.25">
      <c r="A13" s="26" t="str">
        <f>Workbook2!B13</f>
        <v>Autism Society of Minnesota</v>
      </c>
      <c r="B13" s="1" t="str">
        <f>Workbook2!A13</f>
        <v>CIG</v>
      </c>
      <c r="C13" s="1" t="str">
        <f t="shared" si="0"/>
        <v/>
      </c>
      <c r="D13" s="1" t="b">
        <f>'Convening Attendees'!J13&lt;&gt;""</f>
        <v>1</v>
      </c>
      <c r="E13" s="1" t="b">
        <f>NOT(OR(Table5[[#This Row],[POC led?]],D13))</f>
        <v>0</v>
      </c>
      <c r="N13" s="38"/>
    </row>
    <row r="14" spans="1:14" x14ac:dyDescent="0.25">
      <c r="A14" s="26" t="str">
        <f>Workbook2!B14</f>
        <v>Bdote Learning Center</v>
      </c>
      <c r="B14" s="1" t="str">
        <f>Workbook2!A14</f>
        <v>CIG</v>
      </c>
      <c r="C14" s="1" t="str">
        <f t="shared" si="0"/>
        <v/>
      </c>
      <c r="D14" s="1" t="b">
        <f>'Convening Attendees'!J14&lt;&gt;""</f>
        <v>0</v>
      </c>
      <c r="E14" s="1" t="b">
        <f>NOT(OR(Table5[[#This Row],[POC led?]],D14))</f>
        <v>1</v>
      </c>
      <c r="N14" s="38"/>
    </row>
    <row r="15" spans="1:14" x14ac:dyDescent="0.25">
      <c r="A15" s="26" t="str">
        <f>Workbook2!B15</f>
        <v>Bemidji Area Indian Center</v>
      </c>
      <c r="B15" s="1" t="str">
        <f>Workbook2!A15</f>
        <v>CIG</v>
      </c>
      <c r="C15" s="1" t="str">
        <f t="shared" si="0"/>
        <v/>
      </c>
      <c r="D15" s="1" t="b">
        <f>'Convening Attendees'!J15&lt;&gt;""</f>
        <v>0</v>
      </c>
      <c r="E15" s="1" t="b">
        <f>NOT(OR(Table5[[#This Row],[POC led?]],D15))</f>
        <v>1</v>
      </c>
      <c r="F15" s="1" t="b">
        <v>1</v>
      </c>
      <c r="N15" s="38"/>
    </row>
    <row r="16" spans="1:14" x14ac:dyDescent="0.25">
      <c r="A16" s="26" t="str">
        <f>Workbook2!B16</f>
        <v>Bii Gii Wiin CDLF</v>
      </c>
      <c r="B16" s="1" t="str">
        <f>Workbook2!A16</f>
        <v>CIG</v>
      </c>
      <c r="C16" s="1" t="str">
        <f t="shared" si="0"/>
        <v/>
      </c>
      <c r="D16" s="1" t="b">
        <f>'Convening Attendees'!J16&lt;&gt;""</f>
        <v>0</v>
      </c>
      <c r="E16" s="1" t="b">
        <f>NOT(OR(Table5[[#This Row],[POC led?]],D16))</f>
        <v>1</v>
      </c>
      <c r="N16" s="38"/>
    </row>
    <row r="17" spans="1:14" ht="30" x14ac:dyDescent="0.25">
      <c r="A17" s="26" t="str">
        <f>Workbook2!B17</f>
        <v>Black Lives Matter Minneapolis</v>
      </c>
      <c r="B17" s="1" t="str">
        <f>Workbook2!A17</f>
        <v>EFBL; GP; GP; SCF</v>
      </c>
      <c r="C17" s="1" t="b">
        <f t="shared" si="0"/>
        <v>1</v>
      </c>
      <c r="D17" s="1" t="b">
        <f>'Convening Attendees'!J17&lt;&gt;""</f>
        <v>0</v>
      </c>
      <c r="E17" s="1" t="b">
        <f>NOT(OR(Table5[[#This Row],[POC led?]],D17))</f>
        <v>0</v>
      </c>
      <c r="N17" s="38"/>
    </row>
    <row r="18" spans="1:14" ht="30" x14ac:dyDescent="0.25">
      <c r="A18" s="26" t="str">
        <f>Workbook2!B18</f>
        <v>CAIR-Minnesota, Inc. (Council on American Islamic Relations)</v>
      </c>
      <c r="B18" s="1" t="str">
        <f>Workbook2!A18</f>
        <v>CIG; CIG</v>
      </c>
      <c r="C18" s="1" t="str">
        <f t="shared" si="0"/>
        <v/>
      </c>
      <c r="D18" s="1" t="b">
        <f>'Convening Attendees'!J18&lt;&gt;""</f>
        <v>1</v>
      </c>
      <c r="E18" s="1" t="b">
        <f>NOT(OR(Table5[[#This Row],[POC led?]],D18))</f>
        <v>0</v>
      </c>
      <c r="N18" s="38"/>
    </row>
    <row r="19" spans="1:14" x14ac:dyDescent="0.25">
      <c r="A19" s="26" t="str">
        <f>Workbook2!B19</f>
        <v>Center for Earth Energy and Democracy</v>
      </c>
      <c r="B19" s="1" t="str">
        <f>Workbook2!A19</f>
        <v>CIG</v>
      </c>
      <c r="C19" s="1" t="str">
        <f t="shared" si="0"/>
        <v/>
      </c>
      <c r="D19" s="1" t="b">
        <f>'Convening Attendees'!J19&lt;&gt;""</f>
        <v>0</v>
      </c>
      <c r="E19" s="1" t="b">
        <f>NOT(OR(Table5[[#This Row],[POC led?]],D19))</f>
        <v>1</v>
      </c>
      <c r="N19" s="38"/>
    </row>
    <row r="20" spans="1:14" x14ac:dyDescent="0.25">
      <c r="A20" s="26" t="str">
        <f>Workbook2!B20</f>
        <v>Centro Campesino</v>
      </c>
      <c r="B20" s="1" t="str">
        <f>Workbook2!A20</f>
        <v>CIG</v>
      </c>
      <c r="C20" s="1" t="str">
        <f t="shared" si="0"/>
        <v/>
      </c>
      <c r="D20" s="1" t="b">
        <f>'Convening Attendees'!J20&lt;&gt;""</f>
        <v>0</v>
      </c>
      <c r="E20" s="1" t="b">
        <f>NOT(OR(Table5[[#This Row],[POC led?]],D20))</f>
        <v>1</v>
      </c>
      <c r="F20" s="1" t="b">
        <v>1</v>
      </c>
      <c r="N20" s="38"/>
    </row>
    <row r="21" spans="1:14" ht="30" x14ac:dyDescent="0.25">
      <c r="A21" s="33" t="str">
        <f>Workbook2!B21</f>
        <v>Centro de Trabajadores Unidos en la Lucha</v>
      </c>
      <c r="B21" s="1" t="str">
        <f>Workbook2!A21</f>
        <v>CIG; GP; GP; CIG; SCF</v>
      </c>
      <c r="C21" s="1" t="b">
        <f t="shared" si="0"/>
        <v>1</v>
      </c>
      <c r="D21" s="1" t="b">
        <f>'Convening Attendees'!J21&lt;&gt;""</f>
        <v>1</v>
      </c>
      <c r="E21" s="1" t="b">
        <f>NOT(OR(Table5[[#This Row],[POC led?]],D21))</f>
        <v>0</v>
      </c>
      <c r="N21" s="38"/>
    </row>
    <row r="22" spans="1:14" x14ac:dyDescent="0.25">
      <c r="A22" s="26" t="str">
        <f>Workbook2!B22</f>
        <v>CHUM</v>
      </c>
      <c r="B22" s="1" t="str">
        <f>Workbook2!A22</f>
        <v>CIG</v>
      </c>
      <c r="C22" s="1" t="str">
        <f t="shared" si="0"/>
        <v/>
      </c>
      <c r="D22" s="1" t="b">
        <f>'Convening Attendees'!J22&lt;&gt;""</f>
        <v>0</v>
      </c>
      <c r="E22" s="1" t="b">
        <f>NOT(OR(Table5[[#This Row],[POC led?]],D22))</f>
        <v>1</v>
      </c>
      <c r="F22" s="1" t="b">
        <v>1</v>
      </c>
      <c r="N22" s="38"/>
    </row>
    <row r="23" spans="1:14" x14ac:dyDescent="0.25">
      <c r="A23" s="26" t="str">
        <f>Workbook2!B23</f>
        <v>Community Artist Leadership Initiative</v>
      </c>
      <c r="B23" s="1" t="str">
        <f>Workbook2!A23</f>
        <v>CIG</v>
      </c>
      <c r="C23" s="1" t="str">
        <f t="shared" si="0"/>
        <v/>
      </c>
      <c r="D23" s="1" t="b">
        <f>'Convening Attendees'!J23&lt;&gt;""</f>
        <v>0</v>
      </c>
      <c r="E23" s="1" t="b">
        <f>NOT(OR(Table5[[#This Row],[POC led?]],D23))</f>
        <v>1</v>
      </c>
      <c r="N23" s="38"/>
    </row>
    <row r="24" spans="1:14" x14ac:dyDescent="0.25">
      <c r="A24" s="26" t="str">
        <f>Workbook2!B24</f>
        <v>Community Stabilization Project</v>
      </c>
      <c r="B24" s="1" t="str">
        <f>Workbook2!A24</f>
        <v>CIG</v>
      </c>
      <c r="C24" s="1" t="str">
        <f t="shared" si="0"/>
        <v/>
      </c>
      <c r="D24" s="1" t="b">
        <f>'Convening Attendees'!J24&lt;&gt;""</f>
        <v>0</v>
      </c>
      <c r="E24" s="1" t="b">
        <f>NOT(OR(Table5[[#This Row],[POC led?]],D24))</f>
        <v>1</v>
      </c>
      <c r="N24" s="38"/>
    </row>
    <row r="25" spans="1:14" x14ac:dyDescent="0.25">
      <c r="A25" s="26" t="str">
        <f>Workbook2!B25</f>
        <v>Conflict Resolution Center</v>
      </c>
      <c r="B25" s="1" t="str">
        <f>Workbook2!A25</f>
        <v>CIG</v>
      </c>
      <c r="C25" s="1" t="str">
        <f t="shared" si="0"/>
        <v/>
      </c>
      <c r="D25" s="1" t="b">
        <f>'Convening Attendees'!J25&lt;&gt;""</f>
        <v>0</v>
      </c>
      <c r="E25" s="1" t="b">
        <f>NOT(OR(Table5[[#This Row],[POC led?]],D25))</f>
        <v>1</v>
      </c>
      <c r="N25" s="38"/>
    </row>
    <row r="26" spans="1:14" x14ac:dyDescent="0.25">
      <c r="A26" s="26" t="str">
        <f>Workbook2!B26</f>
        <v>Cooperative Development Funds of CDS</v>
      </c>
      <c r="B26" s="1" t="str">
        <f>Workbook2!A26</f>
        <v>CIG</v>
      </c>
      <c r="C26" s="1" t="str">
        <f t="shared" si="0"/>
        <v/>
      </c>
      <c r="D26" s="1" t="b">
        <f>'Convening Attendees'!J26&lt;&gt;""</f>
        <v>0</v>
      </c>
      <c r="E26" s="1" t="b">
        <f>NOT(OR(Table5[[#This Row],[POC led?]],D26))</f>
        <v>1</v>
      </c>
      <c r="N26" s="38"/>
    </row>
    <row r="27" spans="1:14" x14ac:dyDescent="0.25">
      <c r="A27" s="26" t="str">
        <f>Workbook2!B27</f>
        <v>Cross Cultural Alliance of Duluth</v>
      </c>
      <c r="B27" s="1" t="str">
        <f>Workbook2!A27</f>
        <v>CIG</v>
      </c>
      <c r="C27" s="1" t="str">
        <f t="shared" si="0"/>
        <v/>
      </c>
      <c r="D27" s="1" t="b">
        <f>'Convening Attendees'!J27&lt;&gt;""</f>
        <v>0</v>
      </c>
      <c r="E27" s="1" t="b">
        <f>NOT(OR(Table5[[#This Row],[POC led?]],D27))</f>
        <v>1</v>
      </c>
      <c r="F27" s="1" t="b">
        <v>1</v>
      </c>
      <c r="N27" s="38"/>
    </row>
    <row r="28" spans="1:14" x14ac:dyDescent="0.25">
      <c r="A28" s="26" t="str">
        <f>Workbook2!B28</f>
        <v>Cycles for Change</v>
      </c>
      <c r="B28" s="1" t="str">
        <f>Workbook2!A28</f>
        <v>CIG</v>
      </c>
      <c r="C28" s="1" t="str">
        <f t="shared" si="0"/>
        <v/>
      </c>
      <c r="D28" s="1" t="b">
        <f>'Convening Attendees'!J28&lt;&gt;""</f>
        <v>0</v>
      </c>
      <c r="E28" s="1" t="b">
        <f>NOT(OR(Table5[[#This Row],[POC led?]],D28))</f>
        <v>1</v>
      </c>
      <c r="N28" s="38"/>
    </row>
    <row r="29" spans="1:14" x14ac:dyDescent="0.25">
      <c r="A29" s="33" t="str">
        <f>Workbook2!B29</f>
        <v>Dakota Wicohan</v>
      </c>
      <c r="B29" s="1" t="str">
        <f>Workbook2!A29</f>
        <v>FSC; FSC; CIG</v>
      </c>
      <c r="C29" s="1" t="b">
        <f t="shared" si="0"/>
        <v>1</v>
      </c>
      <c r="D29" s="1" t="b">
        <f>'Convening Attendees'!J29&lt;&gt;""</f>
        <v>1</v>
      </c>
      <c r="E29" s="1" t="b">
        <f>NOT(OR(Table5[[#This Row],[POC led?]],D29))</f>
        <v>0</v>
      </c>
      <c r="F29" s="1" t="b">
        <v>1</v>
      </c>
      <c r="N29" s="38"/>
    </row>
    <row r="30" spans="1:14" x14ac:dyDescent="0.25">
      <c r="A30" s="26" t="str">
        <f>Workbook2!B30</f>
        <v>Defend Glendale Campaign</v>
      </c>
      <c r="B30" s="1" t="str">
        <f>Workbook2!A30</f>
        <v>CIG</v>
      </c>
      <c r="C30" s="1" t="str">
        <f t="shared" si="0"/>
        <v/>
      </c>
      <c r="D30" s="1" t="b">
        <f>'Convening Attendees'!J30&lt;&gt;""</f>
        <v>0</v>
      </c>
      <c r="E30" s="1" t="b">
        <f>NOT(OR(Table5[[#This Row],[POC led?]],D30))</f>
        <v>1</v>
      </c>
      <c r="N30" s="38"/>
    </row>
    <row r="31" spans="1:14" ht="30" x14ac:dyDescent="0.25">
      <c r="A31" s="26" t="str">
        <f>Workbook2!B31</f>
        <v>District Councils Collaborative of St. Paul and Minneapolis</v>
      </c>
      <c r="B31" s="1" t="str">
        <f>Workbook2!A31</f>
        <v>CIG</v>
      </c>
      <c r="C31" s="1" t="str">
        <f t="shared" si="0"/>
        <v/>
      </c>
      <c r="D31" s="1" t="b">
        <f>'Convening Attendees'!J31&lt;&gt;""</f>
        <v>0</v>
      </c>
      <c r="E31" s="1" t="b">
        <f>NOT(OR(Table5[[#This Row],[POC led?]],D31))</f>
        <v>1</v>
      </c>
      <c r="N31" s="38"/>
    </row>
    <row r="32" spans="1:14" x14ac:dyDescent="0.25">
      <c r="A32" s="33" t="str">
        <f>Workbook2!B32</f>
        <v>Dream of Wild Health</v>
      </c>
      <c r="B32" s="1" t="str">
        <f>Workbook2!A32</f>
        <v>CIG; FSC; GP</v>
      </c>
      <c r="C32" s="1" t="b">
        <f t="shared" si="0"/>
        <v>1</v>
      </c>
      <c r="D32" s="1" t="b">
        <f>'Convening Attendees'!J32&lt;&gt;""</f>
        <v>1</v>
      </c>
      <c r="E32" s="1" t="b">
        <f>NOT(OR(Table5[[#This Row],[POC led?]],D32))</f>
        <v>0</v>
      </c>
      <c r="N32" s="38"/>
    </row>
    <row r="33" spans="1:14" ht="30" x14ac:dyDescent="0.25">
      <c r="A33" s="26" t="str">
        <f>Workbook2!B33</f>
        <v>East Side Neighborhood Development Company</v>
      </c>
      <c r="B33" s="1" t="str">
        <f>Workbook2!A33</f>
        <v>CIG</v>
      </c>
      <c r="C33" s="1" t="str">
        <f t="shared" si="0"/>
        <v/>
      </c>
      <c r="D33" s="1" t="b">
        <f>'Convening Attendees'!J33&lt;&gt;""</f>
        <v>1</v>
      </c>
      <c r="E33" s="1" t="b">
        <f>NOT(OR(Table5[[#This Row],[POC led?]],D33))</f>
        <v>0</v>
      </c>
      <c r="N33" s="38"/>
    </row>
    <row r="34" spans="1:14" ht="30" x14ac:dyDescent="0.25">
      <c r="A34" s="26" t="str">
        <f>Workbook2!B34</f>
        <v>Eradicating Achievement Gap &amp; Learning Empowerment, Inc.</v>
      </c>
      <c r="B34" s="1" t="str">
        <f>Workbook2!A34</f>
        <v>CIG</v>
      </c>
      <c r="C34" s="1" t="str">
        <f t="shared" ref="C34:C65" si="1">IF(OR(IFERROR(SEARCH("FSC", B34)&lt;&gt;0,FALSE),IFERROR(SEARCH("GP", B34)&lt;&gt;0,FALSE),IFERROR(SEARCH("SCF", B34)&lt;&gt;0,FALSE)), TRUE, "")</f>
        <v/>
      </c>
      <c r="D34" s="1" t="b">
        <f>'Convening Attendees'!J34&lt;&gt;""</f>
        <v>0</v>
      </c>
      <c r="E34" s="1" t="b">
        <f>NOT(OR(Table5[[#This Row],[POC led?]],D34))</f>
        <v>1</v>
      </c>
      <c r="F34" s="1" t="b">
        <v>1</v>
      </c>
      <c r="N34" s="38"/>
    </row>
    <row r="35" spans="1:14" x14ac:dyDescent="0.25">
      <c r="A35" s="26" t="str">
        <f>Workbook2!B35</f>
        <v>Family Tree, Inc</v>
      </c>
      <c r="B35" s="1" t="str">
        <f>Workbook2!A35</f>
        <v>CIG</v>
      </c>
      <c r="C35" s="1" t="str">
        <f t="shared" si="1"/>
        <v/>
      </c>
      <c r="D35" s="1" t="b">
        <f>'Convening Attendees'!J35&lt;&gt;""</f>
        <v>0</v>
      </c>
      <c r="E35" s="1" t="b">
        <f>NOT(OR(Table5[[#This Row],[POC led?]],D35))</f>
        <v>1</v>
      </c>
      <c r="N35" s="38"/>
    </row>
    <row r="36" spans="1:14" x14ac:dyDescent="0.25">
      <c r="A36" s="26" t="str">
        <f>Workbook2!B36</f>
        <v>Greater Minnesota Worker Center</v>
      </c>
      <c r="B36" s="1" t="str">
        <f>Workbook2!A36</f>
        <v>GP; GP; GP; SCF</v>
      </c>
      <c r="C36" s="1" t="b">
        <f t="shared" si="1"/>
        <v>1</v>
      </c>
      <c r="D36" s="1" t="b">
        <f>'Convening Attendees'!J36&lt;&gt;""</f>
        <v>1</v>
      </c>
      <c r="E36" s="1" t="b">
        <f>NOT(OR(Table5[[#This Row],[POC led?]],D36))</f>
        <v>0</v>
      </c>
      <c r="F36" s="1" t="b">
        <v>1</v>
      </c>
      <c r="N36" s="38"/>
    </row>
    <row r="37" spans="1:14" ht="30" x14ac:dyDescent="0.25">
      <c r="A37" s="26" t="str">
        <f>Workbook2!B37</f>
        <v>Haas Institute for Fair and Inclusive Society</v>
      </c>
      <c r="B37" s="1" t="str">
        <f>Workbook2!A37</f>
        <v>G</v>
      </c>
      <c r="C37" s="1" t="str">
        <f t="shared" si="1"/>
        <v/>
      </c>
      <c r="D37" s="1" t="b">
        <f>'Convening Attendees'!J37&lt;&gt;""</f>
        <v>0</v>
      </c>
      <c r="E37" s="1" t="b">
        <f>NOT(OR(Table5[[#This Row],[POC led?]],D37))</f>
        <v>1</v>
      </c>
      <c r="N37" s="38"/>
    </row>
    <row r="38" spans="1:14" x14ac:dyDescent="0.25">
      <c r="A38" s="26" t="str">
        <f>Workbook2!B38</f>
        <v>Hallie Q. Brown Community Center, Inc</v>
      </c>
      <c r="B38" s="1" t="str">
        <f>Workbook2!A38</f>
        <v>CIG</v>
      </c>
      <c r="C38" s="1" t="str">
        <f t="shared" si="1"/>
        <v/>
      </c>
      <c r="D38" s="1" t="b">
        <f>'Convening Attendees'!J38&lt;&gt;""</f>
        <v>0</v>
      </c>
      <c r="E38" s="1" t="b">
        <f>NOT(OR(Table5[[#This Row],[POC led?]],D38))</f>
        <v>1</v>
      </c>
      <c r="N38" s="38"/>
    </row>
    <row r="39" spans="1:14" x14ac:dyDescent="0.25">
      <c r="A39" s="33" t="str">
        <f>Workbook2!B39</f>
        <v>Harrison Neighborhood Association</v>
      </c>
      <c r="B39" s="1" t="str">
        <f>Workbook2!A39</f>
        <v>GP; CIG</v>
      </c>
      <c r="C39" s="1" t="b">
        <f t="shared" si="1"/>
        <v>1</v>
      </c>
      <c r="D39" s="1" t="b">
        <f>'Convening Attendees'!J39&lt;&gt;""</f>
        <v>0</v>
      </c>
      <c r="E39" s="1" t="b">
        <f>NOT(OR(Table5[[#This Row],[POC led?]],D39))</f>
        <v>0</v>
      </c>
      <c r="N39" s="38"/>
    </row>
    <row r="40" spans="1:14" x14ac:dyDescent="0.25">
      <c r="A40" s="26" t="str">
        <f>Workbook2!B40</f>
        <v>Heritage Park Neighborhood Association</v>
      </c>
      <c r="B40" s="1" t="str">
        <f>Workbook2!A40</f>
        <v>CIG</v>
      </c>
      <c r="C40" s="1" t="str">
        <f t="shared" si="1"/>
        <v/>
      </c>
      <c r="D40" s="1" t="b">
        <f>'Convening Attendees'!J40&lt;&gt;""</f>
        <v>0</v>
      </c>
      <c r="E40" s="1" t="b">
        <f>NOT(OR(Table5[[#This Row],[POC led?]],D40))</f>
        <v>1</v>
      </c>
      <c r="N40" s="38"/>
    </row>
    <row r="41" spans="1:14" x14ac:dyDescent="0.25">
      <c r="A41" s="26" t="str">
        <f>Workbook2!B41</f>
        <v>Hispanic Outreach Program of Goodhue</v>
      </c>
      <c r="B41" s="1" t="str">
        <f>Workbook2!A41</f>
        <v>CIG</v>
      </c>
      <c r="C41" s="1" t="str">
        <f t="shared" si="1"/>
        <v/>
      </c>
      <c r="D41" s="1" t="b">
        <f>'Convening Attendees'!J41&lt;&gt;""</f>
        <v>1</v>
      </c>
      <c r="E41" s="1" t="b">
        <f>NOT(OR(Table5[[#This Row],[POC led?]],D41))</f>
        <v>0</v>
      </c>
      <c r="F41" s="1" t="b">
        <v>1</v>
      </c>
      <c r="N41" s="38"/>
    </row>
    <row r="42" spans="1:14" x14ac:dyDescent="0.25">
      <c r="A42" s="33" t="str">
        <f>Workbook2!B42</f>
        <v>Hmong American Farmers Association</v>
      </c>
      <c r="B42" s="1" t="str">
        <f>Workbook2!A42</f>
        <v>CIG; SCF</v>
      </c>
      <c r="C42" s="1" t="b">
        <f t="shared" si="1"/>
        <v>1</v>
      </c>
      <c r="D42" s="1" t="b">
        <f>'Convening Attendees'!J42&lt;&gt;""</f>
        <v>1</v>
      </c>
      <c r="E42" s="1" t="b">
        <f>NOT(OR(Table5[[#This Row],[POC led?]],D42))</f>
        <v>0</v>
      </c>
      <c r="N42" s="38"/>
    </row>
    <row r="43" spans="1:14" ht="30" x14ac:dyDescent="0.25">
      <c r="A43" s="26" t="str">
        <f>Workbook2!B43</f>
        <v>Hnub Tshiab: Hmong Women Achieving Together</v>
      </c>
      <c r="B43" s="1" t="str">
        <f>Workbook2!A43</f>
        <v>GP; GP</v>
      </c>
      <c r="C43" s="1" t="b">
        <f t="shared" si="1"/>
        <v>1</v>
      </c>
      <c r="D43" s="1" t="b">
        <f>'Convening Attendees'!J43&lt;&gt;""</f>
        <v>1</v>
      </c>
      <c r="E43" s="1" t="b">
        <f>NOT(OR(Table5[[#This Row],[POC led?]],D43))</f>
        <v>0</v>
      </c>
      <c r="N43" s="38"/>
    </row>
    <row r="44" spans="1:14" x14ac:dyDescent="0.25">
      <c r="A44" s="26" t="str">
        <f>Workbook2!B44</f>
        <v>Immigrant Development Center</v>
      </c>
      <c r="B44" s="1" t="str">
        <f>Workbook2!A44</f>
        <v>CIG; CIG</v>
      </c>
      <c r="C44" s="1" t="str">
        <f t="shared" si="1"/>
        <v/>
      </c>
      <c r="D44" s="1" t="b">
        <f>'Convening Attendees'!J44&lt;&gt;""</f>
        <v>1</v>
      </c>
      <c r="E44" s="1" t="b">
        <f>NOT(OR(Table5[[#This Row],[POC led?]],D44))</f>
        <v>0</v>
      </c>
      <c r="F44" s="1" t="b">
        <v>1</v>
      </c>
      <c r="N44" s="38"/>
    </row>
    <row r="45" spans="1:14" x14ac:dyDescent="0.25">
      <c r="A45" s="26" t="str">
        <f>Workbook2!B45</f>
        <v>Oyate Hotanin (Voice of the People)</v>
      </c>
      <c r="B45" s="1" t="str">
        <f>Workbook2!A45</f>
        <v>CIG</v>
      </c>
      <c r="C45" s="1" t="str">
        <f t="shared" si="1"/>
        <v/>
      </c>
      <c r="D45" s="1" t="b">
        <f>'Convening Attendees'!J45&lt;&gt;""</f>
        <v>1</v>
      </c>
      <c r="E45" s="1" t="b">
        <f>NOT(OR(Table5[[#This Row],[POC led?]],D45))</f>
        <v>0</v>
      </c>
      <c r="N45" s="38"/>
    </row>
    <row r="46" spans="1:14" x14ac:dyDescent="0.25">
      <c r="A46" s="26" t="str">
        <f>Workbook2!B46</f>
        <v>Indigenous Roots</v>
      </c>
      <c r="B46" s="1" t="str">
        <f>Workbook2!A46</f>
        <v>CIG</v>
      </c>
      <c r="C46" s="1" t="str">
        <f t="shared" si="1"/>
        <v/>
      </c>
      <c r="D46" s="1" t="b">
        <f>'Convening Attendees'!J46&lt;&gt;""</f>
        <v>0</v>
      </c>
      <c r="E46" s="1" t="b">
        <f>NOT(OR(Table5[[#This Row],[POC led?]],D46))</f>
        <v>1</v>
      </c>
      <c r="N46" s="38"/>
    </row>
    <row r="47" spans="1:14" ht="30" x14ac:dyDescent="0.25">
      <c r="A47" s="33" t="str">
        <f>Workbook2!B47</f>
        <v>InquilinXs UnidXs Por Justicia (United Renters For Justice)</v>
      </c>
      <c r="B47" s="1" t="str">
        <f>Workbook2!A47</f>
        <v>GP; CIG</v>
      </c>
      <c r="C47" s="1" t="b">
        <f t="shared" si="1"/>
        <v>1</v>
      </c>
      <c r="D47" s="1" t="b">
        <f>'Convening Attendees'!J47&lt;&gt;""</f>
        <v>1</v>
      </c>
      <c r="E47" s="1" t="b">
        <f>NOT(OR(Table5[[#This Row],[POC led?]],D47))</f>
        <v>0</v>
      </c>
      <c r="N47" s="38"/>
    </row>
    <row r="48" spans="1:14" x14ac:dyDescent="0.25">
      <c r="A48" s="26" t="str">
        <f>Workbook2!B48</f>
        <v>Iraqi and American Reconciliation Project</v>
      </c>
      <c r="B48" s="1" t="str">
        <f>Workbook2!A48</f>
        <v>CIG; CIG</v>
      </c>
      <c r="C48" s="1" t="str">
        <f t="shared" si="1"/>
        <v/>
      </c>
      <c r="D48" s="1" t="b">
        <f>'Convening Attendees'!J48&lt;&gt;""</f>
        <v>1</v>
      </c>
      <c r="E48" s="1" t="b">
        <f>NOT(OR(Table5[[#This Row],[POC led?]],D48))</f>
        <v>0</v>
      </c>
      <c r="N48" s="38"/>
    </row>
    <row r="49" spans="1:14" x14ac:dyDescent="0.25">
      <c r="A49" s="26" t="str">
        <f>Workbook2!B49</f>
        <v>Isuroon</v>
      </c>
      <c r="B49" s="1" t="str">
        <f>Workbook2!A49</f>
        <v>CIG</v>
      </c>
      <c r="C49" s="1" t="str">
        <f t="shared" si="1"/>
        <v/>
      </c>
      <c r="D49" s="1" t="b">
        <f>'Convening Attendees'!J49&lt;&gt;""</f>
        <v>1</v>
      </c>
      <c r="E49" s="1" t="b">
        <f>NOT(OR(Table5[[#This Row],[POC led?]],D49))</f>
        <v>0</v>
      </c>
      <c r="N49" s="38"/>
    </row>
    <row r="50" spans="1:14" x14ac:dyDescent="0.25">
      <c r="A50" s="26" t="str">
        <f>Workbook2!B50</f>
        <v>Jewish Community Action</v>
      </c>
      <c r="B50" s="1" t="str">
        <f>Workbook2!A50</f>
        <v>CIG; CIG</v>
      </c>
      <c r="C50" s="1" t="str">
        <f t="shared" si="1"/>
        <v/>
      </c>
      <c r="D50" s="1" t="b">
        <f>'Convening Attendees'!J50&lt;&gt;""</f>
        <v>1</v>
      </c>
      <c r="E50" s="1" t="b">
        <f>NOT(OR(Table5[[#This Row],[POC led?]],D50))</f>
        <v>0</v>
      </c>
      <c r="N50" s="38"/>
    </row>
    <row r="51" spans="1:14" x14ac:dyDescent="0.25">
      <c r="A51" s="26" t="str">
        <f>Workbook2!B51</f>
        <v>Jordan Area Community Council</v>
      </c>
      <c r="B51" s="1" t="str">
        <f>Workbook2!A51</f>
        <v>CIG</v>
      </c>
      <c r="C51" s="1" t="str">
        <f t="shared" si="1"/>
        <v/>
      </c>
      <c r="D51" s="1" t="b">
        <f>'Convening Attendees'!J51&lt;&gt;""</f>
        <v>1</v>
      </c>
      <c r="E51" s="1" t="b">
        <f>NOT(OR(Table5[[#This Row],[POC led?]],D51))</f>
        <v>0</v>
      </c>
      <c r="N51" s="38"/>
    </row>
    <row r="52" spans="1:14" ht="30" x14ac:dyDescent="0.25">
      <c r="A52" s="26" t="str">
        <f>Workbook2!B52</f>
        <v>Kaleo Center for Faith, Justice &amp; Social Transformation</v>
      </c>
      <c r="B52" s="1" t="str">
        <f>Workbook2!A52</f>
        <v>CIG</v>
      </c>
      <c r="C52" s="1" t="str">
        <f t="shared" si="1"/>
        <v/>
      </c>
      <c r="D52" s="1" t="b">
        <f>'Convening Attendees'!J52&lt;&gt;""</f>
        <v>1</v>
      </c>
      <c r="E52" s="1" t="b">
        <f>NOT(OR(Table5[[#This Row],[POC led?]],D52))</f>
        <v>0</v>
      </c>
      <c r="N52" s="38"/>
    </row>
    <row r="53" spans="1:14" x14ac:dyDescent="0.25">
      <c r="A53" s="26" t="str">
        <f>Workbook2!B53</f>
        <v>Karen Organization of Minnesota</v>
      </c>
      <c r="B53" s="1" t="str">
        <f>Workbook2!A53</f>
        <v>CIG</v>
      </c>
      <c r="C53" s="1" t="str">
        <f t="shared" si="1"/>
        <v/>
      </c>
      <c r="D53" s="1" t="b">
        <f>'Convening Attendees'!J53&lt;&gt;""</f>
        <v>0</v>
      </c>
      <c r="E53" s="1" t="b">
        <f>NOT(OR(Table5[[#This Row],[POC led?]],D53))</f>
        <v>1</v>
      </c>
      <c r="N53" s="38"/>
    </row>
    <row r="54" spans="1:14" x14ac:dyDescent="0.25">
      <c r="A54" s="26" t="str">
        <f>Workbook2!B54</f>
        <v>La Asamblea de Derechos Civiles</v>
      </c>
      <c r="B54" s="1" t="str">
        <f>Workbook2!A54</f>
        <v>SCF</v>
      </c>
      <c r="C54" s="1" t="b">
        <f t="shared" si="1"/>
        <v>1</v>
      </c>
      <c r="D54" s="1" t="b">
        <f>'Convening Attendees'!J54&lt;&gt;""</f>
        <v>0</v>
      </c>
      <c r="E54" s="1" t="b">
        <f>NOT(OR(Table5[[#This Row],[POC led?]],D54))</f>
        <v>0</v>
      </c>
      <c r="N54" s="38"/>
    </row>
    <row r="55" spans="1:14" x14ac:dyDescent="0.25">
      <c r="A55" s="26" t="str">
        <f>Workbook2!B55</f>
        <v>Lao Assistance Center of Minnesota</v>
      </c>
      <c r="B55" s="1" t="str">
        <f>Workbook2!A55</f>
        <v>CIG</v>
      </c>
      <c r="C55" s="1" t="str">
        <f t="shared" si="1"/>
        <v/>
      </c>
      <c r="D55" s="1" t="b">
        <f>'Convening Attendees'!J55&lt;&gt;""</f>
        <v>0</v>
      </c>
      <c r="E55" s="1" t="b">
        <f>NOT(OR(Table5[[#This Row],[POC led?]],D55))</f>
        <v>1</v>
      </c>
      <c r="N55" s="38"/>
    </row>
    <row r="56" spans="1:14" x14ac:dyDescent="0.25">
      <c r="A56" s="26" t="str">
        <f>Workbook2!B56</f>
        <v>ManForward</v>
      </c>
      <c r="B56" s="1" t="str">
        <f>Workbook2!A56</f>
        <v>CIG</v>
      </c>
      <c r="C56" s="1" t="str">
        <f t="shared" si="1"/>
        <v/>
      </c>
      <c r="D56" s="1" t="b">
        <f>'Convening Attendees'!J56&lt;&gt;""</f>
        <v>1</v>
      </c>
      <c r="E56" s="1" t="b">
        <f>NOT(OR(Table5[[#This Row],[POC led?]],D56))</f>
        <v>0</v>
      </c>
      <c r="N56" s="38"/>
    </row>
    <row r="57" spans="1:14" x14ac:dyDescent="0.25">
      <c r="A57" s="26" t="str">
        <f>Workbook2!B57</f>
        <v>Men As Peacemakers</v>
      </c>
      <c r="B57" s="1" t="str">
        <f>Workbook2!A57</f>
        <v>CIG</v>
      </c>
      <c r="C57" s="1" t="str">
        <f t="shared" si="1"/>
        <v/>
      </c>
      <c r="D57" s="1" t="b">
        <f>'Convening Attendees'!J57&lt;&gt;""</f>
        <v>0</v>
      </c>
      <c r="E57" s="1" t="b">
        <f>NOT(OR(Table5[[#This Row],[POC led?]],D57))</f>
        <v>1</v>
      </c>
      <c r="F57" s="1" t="b">
        <v>1</v>
      </c>
      <c r="N57" s="38"/>
    </row>
    <row r="58" spans="1:14" x14ac:dyDescent="0.25">
      <c r="A58" s="26" t="str">
        <f>Workbook2!B58</f>
        <v>Midwest Mixed Conference</v>
      </c>
      <c r="B58" s="1" t="str">
        <f>Workbook2!A58</f>
        <v>CIG</v>
      </c>
      <c r="C58" s="1" t="str">
        <f t="shared" si="1"/>
        <v/>
      </c>
      <c r="D58" s="1" t="b">
        <f>'Convening Attendees'!J58&lt;&gt;""</f>
        <v>1</v>
      </c>
      <c r="E58" s="1" t="b">
        <f>NOT(OR(Table5[[#This Row],[POC led?]],D58))</f>
        <v>0</v>
      </c>
      <c r="N58" s="38"/>
    </row>
    <row r="59" spans="1:14" x14ac:dyDescent="0.25">
      <c r="A59" s="26" t="str">
        <f>Workbook2!B59</f>
        <v>Minnesota Coalition for the Homeless</v>
      </c>
      <c r="B59" s="1" t="str">
        <f>Workbook2!A59</f>
        <v>SCF; SCF</v>
      </c>
      <c r="C59" s="1" t="b">
        <f t="shared" si="1"/>
        <v>1</v>
      </c>
      <c r="D59" s="1" t="b">
        <f>'Convening Attendees'!J59&lt;&gt;""</f>
        <v>0</v>
      </c>
      <c r="E59" s="1" t="b">
        <f>NOT(OR(Table5[[#This Row],[POC led?]],D59))</f>
        <v>0</v>
      </c>
      <c r="N59" s="38"/>
    </row>
    <row r="60" spans="1:14" x14ac:dyDescent="0.25">
      <c r="A60" s="26" t="str">
        <f>Workbook2!B60</f>
        <v>Minnesota Interfaith Power and Light</v>
      </c>
      <c r="B60" s="1" t="str">
        <f>Workbook2!A60</f>
        <v>CIG; CIG</v>
      </c>
      <c r="C60" s="1" t="str">
        <f t="shared" si="1"/>
        <v/>
      </c>
      <c r="D60" s="1" t="b">
        <f>'Convening Attendees'!J60&lt;&gt;""</f>
        <v>0</v>
      </c>
      <c r="E60" s="1" t="b">
        <f>NOT(OR(Table5[[#This Row],[POC led?]],D60))</f>
        <v>1</v>
      </c>
      <c r="N60" s="38"/>
    </row>
    <row r="61" spans="1:14" x14ac:dyDescent="0.25">
      <c r="A61" s="26" t="str">
        <f>Workbook2!B61</f>
        <v>Minnesota Transgender Health Coalition</v>
      </c>
      <c r="B61" s="1" t="str">
        <f>Workbook2!A61</f>
        <v>CIG</v>
      </c>
      <c r="C61" s="1" t="str">
        <f t="shared" si="1"/>
        <v/>
      </c>
      <c r="D61" s="1" t="b">
        <f>'Convening Attendees'!J61&lt;&gt;""</f>
        <v>1</v>
      </c>
      <c r="E61" s="1" t="b">
        <f>NOT(OR(Table5[[#This Row],[POC led?]],D61))</f>
        <v>0</v>
      </c>
      <c r="N61" s="38"/>
    </row>
    <row r="62" spans="1:14" x14ac:dyDescent="0.25">
      <c r="A62" s="26" t="str">
        <f>Workbook2!B62</f>
        <v>Minnesota Urban Debate League</v>
      </c>
      <c r="B62" s="1" t="str">
        <f>Workbook2!A62</f>
        <v>CIG</v>
      </c>
      <c r="C62" s="1" t="str">
        <f t="shared" si="1"/>
        <v/>
      </c>
      <c r="D62" s="1" t="b">
        <f>'Convening Attendees'!J62&lt;&gt;""</f>
        <v>0</v>
      </c>
      <c r="E62" s="1" t="b">
        <f>NOT(OR(Table5[[#This Row],[POC led?]],D62))</f>
        <v>1</v>
      </c>
      <c r="N62" s="38"/>
    </row>
    <row r="63" spans="1:14" x14ac:dyDescent="0.25">
      <c r="A63" s="26" t="str">
        <f>Workbook2!B63</f>
        <v>MN Host Home Network</v>
      </c>
      <c r="B63" s="1" t="str">
        <f>Workbook2!A63</f>
        <v>CIG</v>
      </c>
      <c r="C63" s="1" t="str">
        <f t="shared" si="1"/>
        <v/>
      </c>
      <c r="D63" s="1" t="b">
        <f>'Convening Attendees'!J63&lt;&gt;""</f>
        <v>1</v>
      </c>
      <c r="E63" s="1" t="b">
        <f>NOT(OR(Table5[[#This Row],[POC led?]],D63))</f>
        <v>0</v>
      </c>
      <c r="N63" s="38"/>
    </row>
    <row r="64" spans="1:14" x14ac:dyDescent="0.25">
      <c r="A64" s="26" t="str">
        <f>Workbook2!B64</f>
        <v>NARAL Pro-Choice MN</v>
      </c>
      <c r="B64" s="1" t="str">
        <f>Workbook2!A64</f>
        <v>CIG</v>
      </c>
      <c r="C64" s="1" t="str">
        <f t="shared" si="1"/>
        <v/>
      </c>
      <c r="D64" s="1" t="b">
        <f>'Convening Attendees'!J64&lt;&gt;""</f>
        <v>0</v>
      </c>
      <c r="E64" s="1" t="b">
        <f>NOT(OR(Table5[[#This Row],[POC led?]],D64))</f>
        <v>1</v>
      </c>
      <c r="N64" s="38"/>
    </row>
    <row r="65" spans="1:14" ht="30" x14ac:dyDescent="0.25">
      <c r="A65" s="26" t="str">
        <f>Workbook2!B65</f>
        <v>Native American Community Development Institute</v>
      </c>
      <c r="B65" s="1" t="str">
        <f>Workbook2!A65</f>
        <v>FSC</v>
      </c>
      <c r="C65" s="1" t="b">
        <f t="shared" si="1"/>
        <v>1</v>
      </c>
      <c r="D65" s="1" t="b">
        <f>'Convening Attendees'!J65&lt;&gt;""</f>
        <v>0</v>
      </c>
      <c r="E65" s="1" t="b">
        <f>NOT(OR(Table5[[#This Row],[POC led?]],D65))</f>
        <v>0</v>
      </c>
      <c r="N65" s="38"/>
    </row>
    <row r="66" spans="1:14" x14ac:dyDescent="0.25">
      <c r="A66" s="26" t="str">
        <f>Workbook2!B66</f>
        <v>Native Youth Alliance of Minnesota</v>
      </c>
      <c r="B66" s="1" t="str">
        <f>Workbook2!A66</f>
        <v>FSC</v>
      </c>
      <c r="C66" s="1" t="b">
        <f t="shared" ref="C66:C97" si="2">IF(OR(IFERROR(SEARCH("FSC", B66)&lt;&gt;0,FALSE),IFERROR(SEARCH("GP", B66)&lt;&gt;0,FALSE),IFERROR(SEARCH("SCF", B66)&lt;&gt;0,FALSE)), TRUE, "")</f>
        <v>1</v>
      </c>
      <c r="D66" s="1" t="b">
        <f>'Convening Attendees'!J66&lt;&gt;""</f>
        <v>0</v>
      </c>
      <c r="E66" s="1" t="b">
        <f>NOT(OR(Table5[[#This Row],[POC led?]],D66))</f>
        <v>0</v>
      </c>
      <c r="N66" s="38"/>
    </row>
    <row r="67" spans="1:14" x14ac:dyDescent="0.25">
      <c r="A67" s="26" t="str">
        <f>Workbook2!B67</f>
        <v>NAVIGATE MN</v>
      </c>
      <c r="B67" s="1" t="str">
        <f>Workbook2!A67</f>
        <v>SCF</v>
      </c>
      <c r="C67" s="1" t="b">
        <f t="shared" si="2"/>
        <v>1</v>
      </c>
      <c r="D67" s="1" t="b">
        <f>'Convening Attendees'!J67&lt;&gt;""</f>
        <v>0</v>
      </c>
      <c r="E67" s="1" t="b">
        <f>NOT(OR(Table5[[#This Row],[POC led?]],D67))</f>
        <v>0</v>
      </c>
      <c r="N67" s="38"/>
    </row>
    <row r="68" spans="1:14" x14ac:dyDescent="0.25">
      <c r="A68" s="33" t="str">
        <f>Workbook2!B68</f>
        <v>Neighborhoods Organizing for Change</v>
      </c>
      <c r="B68" s="1" t="str">
        <f>Workbook2!A68</f>
        <v>CIG; EFBL; GP</v>
      </c>
      <c r="C68" s="1" t="b">
        <f t="shared" si="2"/>
        <v>1</v>
      </c>
      <c r="D68" s="1" t="b">
        <f>'Convening Attendees'!J68&lt;&gt;""</f>
        <v>0</v>
      </c>
      <c r="E68" s="1" t="b">
        <f>NOT(OR(Table5[[#This Row],[POC led?]],D68))</f>
        <v>0</v>
      </c>
      <c r="N68" s="38"/>
    </row>
    <row r="69" spans="1:14" x14ac:dyDescent="0.25">
      <c r="A69" s="33" t="str">
        <f>Workbook2!B69</f>
        <v>OutFront MN Community Services</v>
      </c>
      <c r="B69" s="1" t="str">
        <f>Workbook2!A69</f>
        <v>CIG; SCF; CIG</v>
      </c>
      <c r="C69" s="1" t="b">
        <v>0</v>
      </c>
      <c r="D69" s="1" t="b">
        <f>'Convening Attendees'!J69&lt;&gt;""</f>
        <v>0</v>
      </c>
      <c r="E69" s="1" t="b">
        <f>NOT(OR(Table5[[#This Row],[POC led?]],D69))</f>
        <v>1</v>
      </c>
      <c r="N69" s="38"/>
    </row>
    <row r="70" spans="1:14" x14ac:dyDescent="0.25">
      <c r="A70" s="26" t="str">
        <f>Workbook2!B70</f>
        <v>Pan Asian Arts Alliance</v>
      </c>
      <c r="B70" s="1" t="str">
        <f>Workbook2!A70</f>
        <v>CIG</v>
      </c>
      <c r="C70" s="1" t="str">
        <f t="shared" si="2"/>
        <v/>
      </c>
      <c r="D70" s="1" t="b">
        <f>'Convening Attendees'!J70&lt;&gt;""</f>
        <v>1</v>
      </c>
      <c r="E70" s="1" t="b">
        <f>NOT(OR(Table5[[#This Row],[POC led?]],D70))</f>
        <v>0</v>
      </c>
      <c r="N70" s="38"/>
    </row>
    <row r="71" spans="1:14" x14ac:dyDescent="0.25">
      <c r="A71" s="26" t="str">
        <f>Workbook2!B71</f>
        <v>Phillips Indian Educators (PIE)</v>
      </c>
      <c r="B71" s="1" t="str">
        <f>Workbook2!A71</f>
        <v>FSC</v>
      </c>
      <c r="C71" s="1" t="b">
        <f t="shared" si="2"/>
        <v>1</v>
      </c>
      <c r="D71" s="1" t="b">
        <f>'Convening Attendees'!J71&lt;&gt;""</f>
        <v>0</v>
      </c>
      <c r="E71" s="1" t="b">
        <f>NOT(OR(Table5[[#This Row],[POC led?]],D71))</f>
        <v>0</v>
      </c>
      <c r="N71" s="38"/>
    </row>
    <row r="72" spans="1:14" x14ac:dyDescent="0.25">
      <c r="A72" s="26" t="str">
        <f>Workbook2!B72</f>
        <v>Project Fine</v>
      </c>
      <c r="B72" s="1" t="str">
        <f>Workbook2!A72</f>
        <v>CIG</v>
      </c>
      <c r="C72" s="1" t="str">
        <f t="shared" si="2"/>
        <v/>
      </c>
      <c r="D72" s="1" t="b">
        <f>'Convening Attendees'!J72&lt;&gt;""</f>
        <v>0</v>
      </c>
      <c r="E72" s="1" t="b">
        <f>NOT(OR(Table5[[#This Row],[POC led?]],D72))</f>
        <v>1</v>
      </c>
      <c r="F72" s="1" t="b">
        <v>1</v>
      </c>
      <c r="N72" s="38"/>
    </row>
    <row r="73" spans="1:14" x14ac:dyDescent="0.25">
      <c r="A73" s="26" t="str">
        <f>Workbook2!B73</f>
        <v>RECLAIM</v>
      </c>
      <c r="B73" s="1" t="str">
        <f>Workbook2!A73</f>
        <v>CIG</v>
      </c>
      <c r="C73" s="1" t="str">
        <f t="shared" si="2"/>
        <v/>
      </c>
      <c r="D73" s="1" t="b">
        <f>'Convening Attendees'!J73&lt;&gt;""</f>
        <v>1</v>
      </c>
      <c r="E73" s="1" t="b">
        <f>NOT(OR(Table5[[#This Row],[POC led?]],D73))</f>
        <v>0</v>
      </c>
      <c r="N73" s="38"/>
    </row>
    <row r="74" spans="1:14" x14ac:dyDescent="0.25">
      <c r="A74" s="26" t="str">
        <f>Workbook2!B74</f>
        <v>Redeemer Center for Life</v>
      </c>
      <c r="B74" s="1" t="str">
        <f>Workbook2!A74</f>
        <v>CIG</v>
      </c>
      <c r="C74" s="1" t="str">
        <f t="shared" si="2"/>
        <v/>
      </c>
      <c r="D74" s="1" t="b">
        <f>'Convening Attendees'!J74&lt;&gt;""</f>
        <v>1</v>
      </c>
      <c r="E74" s="1" t="b">
        <f>NOT(OR(Table5[[#This Row],[POC led?]],D74))</f>
        <v>0</v>
      </c>
      <c r="N74" s="38"/>
    </row>
    <row r="75" spans="1:14" ht="30" x14ac:dyDescent="0.25">
      <c r="A75" s="26" t="str">
        <f>Workbook2!B75</f>
        <v>Reviving the Islamic Sisterhood for Empowerment</v>
      </c>
      <c r="B75" s="1" t="str">
        <f>Workbook2!A75</f>
        <v>CIG</v>
      </c>
      <c r="C75" s="1" t="str">
        <f t="shared" si="2"/>
        <v/>
      </c>
      <c r="D75" s="1" t="b">
        <f>'Convening Attendees'!J75&lt;&gt;""</f>
        <v>1</v>
      </c>
      <c r="E75" s="1" t="b">
        <f>NOT(OR(Table5[[#This Row],[POC led?]],D75))</f>
        <v>0</v>
      </c>
      <c r="N75" s="38"/>
    </row>
    <row r="76" spans="1:14" ht="30" x14ac:dyDescent="0.25">
      <c r="A76" s="26" t="str">
        <f>Workbook2!B76</f>
        <v>Rural and American Indigenous Leadership</v>
      </c>
      <c r="B76" s="1" t="str">
        <f>Workbook2!A76</f>
        <v>CIG</v>
      </c>
      <c r="C76" s="1" t="str">
        <f t="shared" si="2"/>
        <v/>
      </c>
      <c r="D76" s="1" t="b">
        <f>'Convening Attendees'!J76&lt;&gt;""</f>
        <v>0</v>
      </c>
      <c r="E76" s="1" t="b">
        <f>NOT(OR(Table5[[#This Row],[POC led?]],D76))</f>
        <v>1</v>
      </c>
      <c r="F76" s="1" t="b">
        <v>1</v>
      </c>
      <c r="N76" s="38"/>
    </row>
    <row r="77" spans="1:14" x14ac:dyDescent="0.25">
      <c r="A77" s="26" t="str">
        <f>Workbook2!B77</f>
        <v>Rural Renewable Energy Alliance</v>
      </c>
      <c r="B77" s="1" t="str">
        <f>Workbook2!A77</f>
        <v>CIG</v>
      </c>
      <c r="C77" s="1" t="str">
        <f t="shared" si="2"/>
        <v/>
      </c>
      <c r="D77" s="1" t="b">
        <f>'Convening Attendees'!J77&lt;&gt;""</f>
        <v>1</v>
      </c>
      <c r="E77" s="1" t="b">
        <f>NOT(OR(Table5[[#This Row],[POC led?]],D77))</f>
        <v>0</v>
      </c>
      <c r="F77" s="1" t="b">
        <v>1</v>
      </c>
      <c r="N77" s="38"/>
    </row>
    <row r="78" spans="1:14" x14ac:dyDescent="0.25">
      <c r="A78" s="33" t="str">
        <f>Workbook2!B78</f>
        <v>Shades of Yellow</v>
      </c>
      <c r="B78" s="1" t="str">
        <f>Workbook2!A78</f>
        <v>GP; SCF</v>
      </c>
      <c r="C78" s="1" t="b">
        <f t="shared" si="2"/>
        <v>1</v>
      </c>
      <c r="D78" s="1" t="b">
        <f>'Convening Attendees'!J78&lt;&gt;""</f>
        <v>0</v>
      </c>
      <c r="E78" s="1" t="b">
        <f>NOT(OR(Table5[[#This Row],[POC led?]],D78))</f>
        <v>0</v>
      </c>
      <c r="N78" s="38"/>
    </row>
    <row r="79" spans="1:14" x14ac:dyDescent="0.25">
      <c r="A79" s="26" t="str">
        <f>Workbook2!B79</f>
        <v>Somali American Community</v>
      </c>
      <c r="B79" s="1" t="str">
        <f>Workbook2!A79</f>
        <v>CIG</v>
      </c>
      <c r="C79" s="1" t="str">
        <f t="shared" si="2"/>
        <v/>
      </c>
      <c r="D79" s="1" t="b">
        <f>'Convening Attendees'!J79&lt;&gt;""</f>
        <v>0</v>
      </c>
      <c r="E79" s="1" t="b">
        <f>NOT(OR(Table5[[#This Row],[POC led?]],D79))</f>
        <v>1</v>
      </c>
      <c r="N79" s="38"/>
    </row>
    <row r="80" spans="1:14" x14ac:dyDescent="0.25">
      <c r="A80" s="26" t="str">
        <f>Workbook2!B80</f>
        <v>Somali Artifact and Cultural Museum</v>
      </c>
      <c r="B80" s="1" t="str">
        <f>Workbook2!A80</f>
        <v>CIG</v>
      </c>
      <c r="C80" s="1" t="str">
        <f t="shared" si="2"/>
        <v/>
      </c>
      <c r="D80" s="1" t="b">
        <f>'Convening Attendees'!J80&lt;&gt;""</f>
        <v>0</v>
      </c>
      <c r="E80" s="1" t="b">
        <f>NOT(OR(Table5[[#This Row],[POC led?]],D80))</f>
        <v>1</v>
      </c>
      <c r="N80" s="38"/>
    </row>
    <row r="81" spans="1:14" ht="30" x14ac:dyDescent="0.25">
      <c r="A81" s="26" t="str">
        <f>Workbook2!B81</f>
        <v>Somali Community Barwaaqo Organization</v>
      </c>
      <c r="B81" s="1" t="str">
        <f>Workbook2!A81</f>
        <v>CIG</v>
      </c>
      <c r="C81" s="1" t="str">
        <f t="shared" si="2"/>
        <v/>
      </c>
      <c r="D81" s="1" t="b">
        <f>'Convening Attendees'!J81&lt;&gt;""</f>
        <v>1</v>
      </c>
      <c r="E81" s="1" t="b">
        <f>NOT(OR(Table5[[#This Row],[POC led?]],D81))</f>
        <v>0</v>
      </c>
      <c r="N81" s="38"/>
    </row>
    <row r="82" spans="1:14" x14ac:dyDescent="0.25">
      <c r="A82" s="26" t="str">
        <f>Workbook2!B82</f>
        <v>The Bridge for Youth</v>
      </c>
      <c r="B82" s="1" t="str">
        <f>Workbook2!A82</f>
        <v>CIG</v>
      </c>
      <c r="C82" s="1" t="str">
        <f t="shared" si="2"/>
        <v/>
      </c>
      <c r="D82" s="1" t="b">
        <f>'Convening Attendees'!J82&lt;&gt;""</f>
        <v>0</v>
      </c>
      <c r="E82" s="1" t="b">
        <f>NOT(OR(Table5[[#This Row],[POC led?]],D82))</f>
        <v>1</v>
      </c>
      <c r="N82" s="38"/>
    </row>
    <row r="83" spans="1:14" x14ac:dyDescent="0.25">
      <c r="A83" s="26" t="str">
        <f>Workbook2!B83</f>
        <v>The Food Goup</v>
      </c>
      <c r="B83" s="1" t="str">
        <f>Workbook2!A83</f>
        <v>CIG</v>
      </c>
      <c r="C83" s="1" t="str">
        <f t="shared" si="2"/>
        <v/>
      </c>
      <c r="D83" s="1" t="b">
        <f>'Convening Attendees'!J83&lt;&gt;""</f>
        <v>1</v>
      </c>
      <c r="E83" s="1" t="b">
        <f>NOT(OR(Table5[[#This Row],[POC led?]],D83))</f>
        <v>0</v>
      </c>
    </row>
    <row r="84" spans="1:14" x14ac:dyDescent="0.25">
      <c r="A84" s="26" t="str">
        <f>Workbook2!B84</f>
        <v>The People's Press Project (PPP)</v>
      </c>
      <c r="B84" s="1" t="str">
        <f>Workbook2!A84</f>
        <v>CIG; CIG</v>
      </c>
      <c r="C84" s="1" t="str">
        <f t="shared" si="2"/>
        <v/>
      </c>
      <c r="D84" s="1" t="b">
        <f>'Convening Attendees'!J84&lt;&gt;""</f>
        <v>0</v>
      </c>
      <c r="E84" s="1" t="b">
        <f>NOT(OR(Table5[[#This Row],[POC led?]],D84))</f>
        <v>1</v>
      </c>
      <c r="F84" s="1" t="b">
        <v>1</v>
      </c>
    </row>
    <row r="85" spans="1:14" x14ac:dyDescent="0.25">
      <c r="A85" s="26" t="str">
        <f>Workbook2!B85</f>
        <v>The Power of People Leadership Institute</v>
      </c>
      <c r="B85" s="1" t="str">
        <f>Workbook2!A85</f>
        <v>CIG</v>
      </c>
      <c r="C85" s="1" t="str">
        <f t="shared" si="2"/>
        <v/>
      </c>
      <c r="D85" s="1" t="b">
        <f>'Convening Attendees'!J85&lt;&gt;""</f>
        <v>1</v>
      </c>
      <c r="E85" s="1" t="b">
        <f>NOT(OR(Table5[[#This Row],[POC led?]],D85))</f>
        <v>0</v>
      </c>
    </row>
    <row r="86" spans="1:14" x14ac:dyDescent="0.25">
      <c r="A86" s="26" t="str">
        <f>Workbook2!B86</f>
        <v>The unPrison Project</v>
      </c>
      <c r="B86" s="1" t="str">
        <f>Workbook2!A86</f>
        <v>CIG</v>
      </c>
      <c r="C86" s="1" t="str">
        <f t="shared" si="2"/>
        <v/>
      </c>
      <c r="D86" s="1" t="b">
        <f>'Convening Attendees'!J86&lt;&gt;""</f>
        <v>0</v>
      </c>
      <c r="E86" s="1" t="b">
        <f>NOT(OR(Table5[[#This Row],[POC led?]],D86))</f>
        <v>1</v>
      </c>
    </row>
    <row r="87" spans="1:14" x14ac:dyDescent="0.25">
      <c r="A87" s="26" t="str">
        <f>Workbook2!B87</f>
        <v>Frogtown Neighborhood Association</v>
      </c>
      <c r="B87" s="1" t="str">
        <f>Workbook2!A87</f>
        <v>CIG</v>
      </c>
      <c r="C87" s="1" t="str">
        <f t="shared" si="2"/>
        <v/>
      </c>
      <c r="D87" s="1" t="b">
        <f>'Convening Attendees'!J87&lt;&gt;""</f>
        <v>0</v>
      </c>
      <c r="E87" s="1" t="b">
        <f>NOT(OR(Table5[[#This Row],[POC led?]],D87))</f>
        <v>1</v>
      </c>
    </row>
    <row r="88" spans="1:14" x14ac:dyDescent="0.25">
      <c r="A88" s="33" t="str">
        <f>Workbook2!B88</f>
        <v>Toxic Taters Coaltion</v>
      </c>
      <c r="B88" s="1" t="str">
        <f>Workbook2!A88</f>
        <v>SCF; CIG</v>
      </c>
      <c r="C88" s="1" t="b">
        <f t="shared" si="2"/>
        <v>1</v>
      </c>
      <c r="D88" s="1" t="b">
        <f>'Convening Attendees'!J88&lt;&gt;""</f>
        <v>0</v>
      </c>
      <c r="E88" s="1" t="b">
        <f>NOT(OR(Table5[[#This Row],[POC led?]],D88))</f>
        <v>0</v>
      </c>
      <c r="F88" s="1" t="b">
        <v>1</v>
      </c>
    </row>
    <row r="89" spans="1:14" x14ac:dyDescent="0.25">
      <c r="A89" s="26" t="str">
        <f>Workbook2!B89</f>
        <v>Twin Cities Agricultural Land Trust</v>
      </c>
      <c r="B89" s="1" t="str">
        <f>Workbook2!A89</f>
        <v>CIG</v>
      </c>
      <c r="C89" s="1" t="str">
        <f t="shared" si="2"/>
        <v/>
      </c>
      <c r="D89" s="1" t="b">
        <v>0</v>
      </c>
      <c r="E89" s="1" t="b">
        <f>NOT(OR(Table5[[#This Row],[POC led?]],D89))</f>
        <v>1</v>
      </c>
    </row>
    <row r="90" spans="1:14" ht="30" x14ac:dyDescent="0.25">
      <c r="A90" s="26" t="str">
        <f>Workbook2!B90</f>
        <v>Tretter Collection in GLBT Studies at the University of Minnesota</v>
      </c>
      <c r="B90" s="1" t="str">
        <f>Workbook2!A90</f>
        <v>CIG</v>
      </c>
      <c r="C90" s="1" t="str">
        <f t="shared" si="2"/>
        <v/>
      </c>
      <c r="D90" s="1" t="b">
        <f>'Convening Attendees'!J90&lt;&gt;""</f>
        <v>1</v>
      </c>
      <c r="E90" s="1" t="b">
        <f>NOT(OR(Table5[[#This Row],[POC led?]],D90))</f>
        <v>0</v>
      </c>
    </row>
    <row r="91" spans="1:14" x14ac:dyDescent="0.25">
      <c r="A91" s="26" t="str">
        <f>Workbook2!B91</f>
        <v>Upstream Arts, Inc.</v>
      </c>
      <c r="B91" s="1" t="str">
        <f>Workbook2!A91</f>
        <v>CIG</v>
      </c>
      <c r="C91" s="1" t="str">
        <f t="shared" si="2"/>
        <v/>
      </c>
      <c r="D91" s="1" t="b">
        <f>'Convening Attendees'!J91&lt;&gt;""</f>
        <v>1</v>
      </c>
      <c r="E91" s="1" t="b">
        <f>NOT(OR(Table5[[#This Row],[POC led?]],D91))</f>
        <v>0</v>
      </c>
    </row>
    <row r="92" spans="1:14" x14ac:dyDescent="0.25">
      <c r="A92" s="26" t="str">
        <f>Workbook2!B92</f>
        <v>Victoria Theater Arts Initiative</v>
      </c>
      <c r="B92" s="1" t="str">
        <f>Workbook2!A92</f>
        <v>CIG</v>
      </c>
      <c r="C92" s="1" t="str">
        <f t="shared" si="2"/>
        <v/>
      </c>
      <c r="D92" s="1" t="b">
        <f>'Convening Attendees'!J92&lt;&gt;""</f>
        <v>0</v>
      </c>
      <c r="E92" s="1" t="b">
        <f>NOT(OR(Table5[[#This Row],[POC led?]],D92))</f>
        <v>1</v>
      </c>
    </row>
    <row r="93" spans="1:14" x14ac:dyDescent="0.25">
      <c r="A93" s="33" t="str">
        <f>Workbook2!B93</f>
        <v>Voices for Racial Justice</v>
      </c>
      <c r="B93" s="1" t="str">
        <f>Workbook2!A93</f>
        <v>CIG; CIG; SCF</v>
      </c>
      <c r="C93" s="1" t="b">
        <f t="shared" si="2"/>
        <v>1</v>
      </c>
      <c r="D93" s="1" t="b">
        <f>'Convening Attendees'!J93&lt;&gt;""</f>
        <v>1</v>
      </c>
      <c r="E93" s="1" t="b">
        <f>NOT(OR(Table5[[#This Row],[POC led?]],D93))</f>
        <v>0</v>
      </c>
    </row>
    <row r="94" spans="1:14" x14ac:dyDescent="0.25">
      <c r="A94" s="26" t="str">
        <f>Workbook2!B94</f>
        <v>Watercourse Counseling Center</v>
      </c>
      <c r="B94" s="1" t="str">
        <f>Workbook2!A94</f>
        <v>CIG</v>
      </c>
      <c r="C94" s="1" t="str">
        <f t="shared" si="2"/>
        <v/>
      </c>
      <c r="D94" s="1" t="b">
        <f>'Convening Attendees'!J94&lt;&gt;""</f>
        <v>1</v>
      </c>
      <c r="E94" s="1" t="b">
        <f>NOT(OR(Table5[[#This Row],[POC led?]],D94))</f>
        <v>0</v>
      </c>
    </row>
    <row r="95" spans="1:14" x14ac:dyDescent="0.25">
      <c r="A95" s="33" t="str">
        <f>Workbook2!B95</f>
        <v>WaterLegacy</v>
      </c>
      <c r="B95" s="1" t="str">
        <f>Workbook2!A95</f>
        <v>CIG; CIG; SCF</v>
      </c>
      <c r="C95" s="1" t="b">
        <f t="shared" si="2"/>
        <v>1</v>
      </c>
      <c r="D95" s="1" t="b">
        <f>'Convening Attendees'!J95&lt;&gt;""</f>
        <v>1</v>
      </c>
      <c r="E95" s="1" t="b">
        <f>NOT(OR(Table5[[#This Row],[POC led?]],D95))</f>
        <v>0</v>
      </c>
    </row>
    <row r="96" spans="1:14" x14ac:dyDescent="0.25">
      <c r="A96" s="26" t="str">
        <f>Workbook2!B96</f>
        <v>Welfare Rights Committee</v>
      </c>
      <c r="B96" s="1" t="str">
        <f>Workbook2!A96</f>
        <v>SCF; SCF</v>
      </c>
      <c r="C96" s="1" t="b">
        <f t="shared" si="2"/>
        <v>1</v>
      </c>
      <c r="D96" s="1" t="b">
        <f>'Convening Attendees'!J96&lt;&gt;""</f>
        <v>0</v>
      </c>
      <c r="E96" s="1" t="b">
        <f>NOT(OR(Table5[[#This Row],[POC led?]],D96))</f>
        <v>0</v>
      </c>
    </row>
    <row r="97" spans="1:5" x14ac:dyDescent="0.25">
      <c r="A97" s="26" t="str">
        <f>Workbook2!B97</f>
        <v>West Side Community Organization</v>
      </c>
      <c r="B97" s="1" t="str">
        <f>Workbook2!A97</f>
        <v>CIG</v>
      </c>
      <c r="C97" s="1" t="str">
        <f t="shared" si="2"/>
        <v/>
      </c>
      <c r="D97" s="1" t="b">
        <f>'Convening Attendees'!J97&lt;&gt;""</f>
        <v>1</v>
      </c>
      <c r="E97" s="1" t="b">
        <f>NOT(OR(Table5[[#This Row],[POC led?]],D97))</f>
        <v>0</v>
      </c>
    </row>
    <row r="98" spans="1:5" x14ac:dyDescent="0.25">
      <c r="A98" s="26" t="str">
        <f>Workbook2!B98</f>
        <v>White Earth Land Recovery Project</v>
      </c>
      <c r="B98" s="1" t="str">
        <f>Workbook2!A98</f>
        <v>CIG</v>
      </c>
      <c r="C98" s="1" t="str">
        <f t="shared" ref="C98" si="3">IF(OR(IFERROR(SEARCH("FSC", B98)&lt;&gt;0,FALSE),IFERROR(SEARCH("GP", B98)&lt;&gt;0,FALSE),IFERROR(SEARCH("SCF", B98)&lt;&gt;0,FALSE)), TRUE, "")</f>
        <v/>
      </c>
      <c r="D98" s="1" t="b">
        <f>'Convening Attendees'!J98&lt;&gt;""</f>
        <v>0</v>
      </c>
      <c r="E98" s="1" t="b">
        <f>NOT(OR(Table5[[#This Row],[POC led?]],D98))</f>
        <v>1</v>
      </c>
    </row>
  </sheetData>
  <conditionalFormatting sqref="C2:C98">
    <cfRule type="expression" dxfId="36" priority="2">
      <formula>IF(OR(IFERROR(SEARCH("FSC", B2)&lt;&gt;0,FALSE),IFERROR(SEARCH("GP", B2)&lt;&gt;0,FALSE),IFERROR(SEARCH("SCF", B2)&lt;&gt;0,FALSE)), TRUE, FALSE)</formula>
    </cfRule>
  </conditionalFormatting>
  <conditionalFormatting sqref="C3">
    <cfRule type="expression" dxfId="35" priority="3">
      <formula>IF(C3=TRUE, TRUE, FALSE)</formula>
    </cfRule>
  </conditionalFormatting>
  <conditionalFormatting sqref="D2:F98">
    <cfRule type="expression" dxfId="34" priority="1">
      <formula>D2=TRUE</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1"/>
  <sheetViews>
    <sheetView workbookViewId="0">
      <selection activeCell="C21" sqref="C21"/>
    </sheetView>
  </sheetViews>
  <sheetFormatPr defaultRowHeight="15" x14ac:dyDescent="0.25"/>
  <cols>
    <col min="1" max="1" width="32" customWidth="1"/>
    <col min="2" max="2" width="13.7109375" customWidth="1"/>
    <col min="3" max="3" width="11.85546875" customWidth="1"/>
  </cols>
  <sheetData>
    <row r="1" spans="1:4" x14ac:dyDescent="0.25">
      <c r="A1" t="s">
        <v>115</v>
      </c>
      <c r="B1" t="s">
        <v>1</v>
      </c>
      <c r="C1" t="s">
        <v>2024</v>
      </c>
      <c r="D1" t="s">
        <v>2026</v>
      </c>
    </row>
    <row r="2" spans="1:4" x14ac:dyDescent="0.25">
      <c r="A2" t="s">
        <v>89</v>
      </c>
      <c r="B2" t="s">
        <v>4</v>
      </c>
      <c r="C2" t="b">
        <v>1</v>
      </c>
    </row>
    <row r="3" spans="1:4" x14ac:dyDescent="0.25">
      <c r="A3" t="s">
        <v>107</v>
      </c>
      <c r="B3" t="s">
        <v>4</v>
      </c>
      <c r="C3" t="b">
        <v>1</v>
      </c>
    </row>
    <row r="4" spans="1:4" x14ac:dyDescent="0.25">
      <c r="A4" t="s">
        <v>87</v>
      </c>
      <c r="B4" t="s">
        <v>4</v>
      </c>
      <c r="C4" t="b">
        <v>1</v>
      </c>
    </row>
    <row r="5" spans="1:4" x14ac:dyDescent="0.25">
      <c r="A5" t="s">
        <v>83</v>
      </c>
      <c r="B5" t="s">
        <v>4</v>
      </c>
      <c r="C5" t="b">
        <v>1</v>
      </c>
    </row>
    <row r="6" spans="1:4" x14ac:dyDescent="0.25">
      <c r="A6" t="s">
        <v>48</v>
      </c>
      <c r="B6" t="s">
        <v>4</v>
      </c>
      <c r="C6" t="b">
        <v>1</v>
      </c>
    </row>
    <row r="7" spans="1:4" x14ac:dyDescent="0.25">
      <c r="A7" t="s">
        <v>62</v>
      </c>
      <c r="B7" t="s">
        <v>4</v>
      </c>
      <c r="C7" t="b">
        <v>1</v>
      </c>
    </row>
    <row r="8" spans="1:4" x14ac:dyDescent="0.25">
      <c r="A8" t="s">
        <v>88</v>
      </c>
      <c r="B8" t="s">
        <v>4</v>
      </c>
      <c r="C8" t="b">
        <v>1</v>
      </c>
    </row>
    <row r="9" spans="1:4" x14ac:dyDescent="0.25">
      <c r="A9" t="s">
        <v>92</v>
      </c>
      <c r="B9" t="s">
        <v>4</v>
      </c>
      <c r="C9" t="b">
        <v>1</v>
      </c>
    </row>
    <row r="10" spans="1:4" x14ac:dyDescent="0.25">
      <c r="A10" t="s">
        <v>93</v>
      </c>
      <c r="B10" t="s">
        <v>4</v>
      </c>
      <c r="C10" t="b">
        <v>1</v>
      </c>
    </row>
    <row r="11" spans="1:4" x14ac:dyDescent="0.25">
      <c r="A11" t="s">
        <v>108</v>
      </c>
      <c r="B11" t="s">
        <v>1978</v>
      </c>
      <c r="C11" t="b">
        <v>1</v>
      </c>
    </row>
    <row r="12" spans="1:4" x14ac:dyDescent="0.25">
      <c r="A12" t="s">
        <v>109</v>
      </c>
      <c r="B12" t="s">
        <v>4</v>
      </c>
      <c r="C12" t="b">
        <v>1</v>
      </c>
    </row>
    <row r="13" spans="1:4" x14ac:dyDescent="0.25">
      <c r="A13" t="s">
        <v>49</v>
      </c>
      <c r="B13" t="s">
        <v>1978</v>
      </c>
      <c r="C13" t="b">
        <v>1</v>
      </c>
    </row>
    <row r="14" spans="1:4" x14ac:dyDescent="0.25">
      <c r="A14" t="s">
        <v>94</v>
      </c>
      <c r="B14" t="s">
        <v>1978</v>
      </c>
      <c r="C14" t="b">
        <v>1</v>
      </c>
    </row>
    <row r="15" spans="1:4" x14ac:dyDescent="0.25">
      <c r="A15" t="s">
        <v>218</v>
      </c>
      <c r="B15" t="s">
        <v>4</v>
      </c>
      <c r="C15" t="b">
        <v>1</v>
      </c>
    </row>
    <row r="16" spans="1:4" x14ac:dyDescent="0.25">
      <c r="A16" t="s">
        <v>110</v>
      </c>
      <c r="B16" t="s">
        <v>4</v>
      </c>
      <c r="C16" t="b">
        <v>1</v>
      </c>
    </row>
    <row r="17" spans="1:3" x14ac:dyDescent="0.25">
      <c r="A17" t="s">
        <v>78</v>
      </c>
      <c r="B17" t="s">
        <v>4</v>
      </c>
      <c r="C17" t="b">
        <v>1</v>
      </c>
    </row>
    <row r="18" spans="1:3" x14ac:dyDescent="0.25">
      <c r="A18" t="s">
        <v>40</v>
      </c>
      <c r="B18" t="s">
        <v>4</v>
      </c>
      <c r="C18" t="b">
        <v>1</v>
      </c>
    </row>
    <row r="19" spans="1:3" x14ac:dyDescent="0.25">
      <c r="A19" t="s">
        <v>96</v>
      </c>
      <c r="B19" t="s">
        <v>4</v>
      </c>
      <c r="C19" t="b">
        <v>1</v>
      </c>
    </row>
    <row r="20" spans="1:3" x14ac:dyDescent="0.25">
      <c r="A20" t="s">
        <v>97</v>
      </c>
      <c r="B20" t="s">
        <v>4</v>
      </c>
      <c r="C20" t="b">
        <v>1</v>
      </c>
    </row>
    <row r="21" spans="1:3" x14ac:dyDescent="0.25">
      <c r="A21" t="s">
        <v>63</v>
      </c>
      <c r="B21" t="s">
        <v>1978</v>
      </c>
      <c r="C21" t="b">
        <v>1</v>
      </c>
    </row>
    <row r="22" spans="1:3" x14ac:dyDescent="0.25">
      <c r="A22" t="s">
        <v>114</v>
      </c>
      <c r="B22" t="s">
        <v>45</v>
      </c>
      <c r="C22" t="b">
        <v>1</v>
      </c>
    </row>
    <row r="23" spans="1:3" x14ac:dyDescent="0.25">
      <c r="A23" t="s">
        <v>50</v>
      </c>
      <c r="B23" t="s">
        <v>4</v>
      </c>
      <c r="C23" t="b">
        <v>1</v>
      </c>
    </row>
    <row r="24" spans="1:3" x14ac:dyDescent="0.25">
      <c r="A24" t="s">
        <v>98</v>
      </c>
      <c r="B24" t="s">
        <v>4</v>
      </c>
      <c r="C24" t="b">
        <v>1</v>
      </c>
    </row>
    <row r="25" spans="1:3" x14ac:dyDescent="0.25">
      <c r="A25" t="s">
        <v>28</v>
      </c>
      <c r="B25" t="s">
        <v>4</v>
      </c>
      <c r="C25" t="b">
        <v>1</v>
      </c>
    </row>
    <row r="26" spans="1:3" x14ac:dyDescent="0.25">
      <c r="A26" t="s">
        <v>65</v>
      </c>
      <c r="B26" t="s">
        <v>4</v>
      </c>
      <c r="C26" t="b">
        <v>1</v>
      </c>
    </row>
    <row r="27" spans="1:3" x14ac:dyDescent="0.25">
      <c r="A27" t="s">
        <v>66</v>
      </c>
      <c r="B27" t="s">
        <v>4</v>
      </c>
      <c r="C27" t="b">
        <v>1</v>
      </c>
    </row>
    <row r="28" spans="1:3" x14ac:dyDescent="0.25">
      <c r="A28" t="s">
        <v>71</v>
      </c>
      <c r="B28" t="s">
        <v>4</v>
      </c>
      <c r="C28" t="b">
        <v>1</v>
      </c>
    </row>
    <row r="29" spans="1:3" x14ac:dyDescent="0.25">
      <c r="A29" t="s">
        <v>111</v>
      </c>
      <c r="B29" t="s">
        <v>1978</v>
      </c>
      <c r="C29" t="b">
        <v>1</v>
      </c>
    </row>
    <row r="30" spans="1:3" x14ac:dyDescent="0.25">
      <c r="A30" t="s">
        <v>99</v>
      </c>
      <c r="B30" t="s">
        <v>1978</v>
      </c>
      <c r="C30" t="b">
        <v>1</v>
      </c>
    </row>
    <row r="31" spans="1:3" x14ac:dyDescent="0.25">
      <c r="A31" t="s">
        <v>100</v>
      </c>
      <c r="B31" t="s">
        <v>4</v>
      </c>
      <c r="C31" t="b">
        <v>1</v>
      </c>
    </row>
    <row r="32" spans="1:3" x14ac:dyDescent="0.25">
      <c r="A32" t="s">
        <v>67</v>
      </c>
      <c r="B32" t="s">
        <v>4</v>
      </c>
      <c r="C32" t="b">
        <v>1</v>
      </c>
    </row>
    <row r="33" spans="1:3" x14ac:dyDescent="0.25">
      <c r="A33" t="s">
        <v>91</v>
      </c>
      <c r="B33" t="s">
        <v>4</v>
      </c>
      <c r="C33" t="b">
        <v>1</v>
      </c>
    </row>
    <row r="34" spans="1:3" x14ac:dyDescent="0.25">
      <c r="A34" t="s">
        <v>8</v>
      </c>
      <c r="B34" t="s">
        <v>4</v>
      </c>
      <c r="C34" t="b">
        <v>1</v>
      </c>
    </row>
    <row r="35" spans="1:3" x14ac:dyDescent="0.25">
      <c r="A35" t="s">
        <v>58</v>
      </c>
      <c r="B35" t="s">
        <v>4</v>
      </c>
      <c r="C35" t="b">
        <v>1</v>
      </c>
    </row>
    <row r="36" spans="1:3" x14ac:dyDescent="0.25">
      <c r="A36" t="s">
        <v>112</v>
      </c>
      <c r="B36" t="s">
        <v>4</v>
      </c>
      <c r="C36" t="b">
        <v>1</v>
      </c>
    </row>
    <row r="37" spans="1:3" x14ac:dyDescent="0.25">
      <c r="A37" t="s">
        <v>59</v>
      </c>
      <c r="B37" t="s">
        <v>1978</v>
      </c>
      <c r="C37" t="b">
        <v>1</v>
      </c>
    </row>
    <row r="38" spans="1:3" x14ac:dyDescent="0.25">
      <c r="A38" t="s">
        <v>113</v>
      </c>
      <c r="B38" t="s">
        <v>4</v>
      </c>
      <c r="C38" t="b">
        <v>1</v>
      </c>
    </row>
    <row r="39" spans="1:3" x14ac:dyDescent="0.25">
      <c r="A39" t="s">
        <v>60</v>
      </c>
      <c r="B39" t="s">
        <v>1978</v>
      </c>
      <c r="C39" t="b">
        <v>1</v>
      </c>
    </row>
    <row r="40" spans="1:3" x14ac:dyDescent="0.25">
      <c r="A40" t="s">
        <v>23</v>
      </c>
      <c r="B40" t="s">
        <v>4</v>
      </c>
      <c r="C40" t="b">
        <v>1</v>
      </c>
    </row>
    <row r="41" spans="1:3" x14ac:dyDescent="0.25">
      <c r="A41" t="s">
        <v>34</v>
      </c>
      <c r="B41" t="s">
        <v>1978</v>
      </c>
      <c r="C41" t="b">
        <v>1</v>
      </c>
    </row>
  </sheetData>
  <sortState ref="A2:C41">
    <sortCondition ref="C2:C4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18"/>
  <sheetViews>
    <sheetView topLeftCell="F1" zoomScaleNormal="100" workbookViewId="0">
      <pane ySplit="1" topLeftCell="A2" activePane="bottomLeft" state="frozen"/>
      <selection pane="bottomLeft" activeCell="J100" sqref="J100"/>
    </sheetView>
  </sheetViews>
  <sheetFormatPr defaultRowHeight="15" x14ac:dyDescent="0.25"/>
  <cols>
    <col min="1" max="1" width="24.7109375" customWidth="1"/>
    <col min="2" max="2" width="23.7109375" customWidth="1"/>
    <col min="3" max="3" width="28.28515625" customWidth="1"/>
    <col min="4" max="4" width="51.7109375" customWidth="1"/>
    <col min="5" max="5" width="57.140625" customWidth="1"/>
    <col min="6" max="6" width="22.85546875" customWidth="1"/>
    <col min="7" max="7" width="42.42578125" customWidth="1"/>
    <col min="8" max="8" width="22.7109375" customWidth="1"/>
    <col min="9" max="9" width="14.42578125" customWidth="1"/>
    <col min="10" max="10" width="27.7109375" customWidth="1"/>
  </cols>
  <sheetData>
    <row r="1" spans="1:12" ht="15.75" thickBot="1" x14ac:dyDescent="0.3">
      <c r="A1" s="32" t="s">
        <v>1763</v>
      </c>
      <c r="B1" s="32" t="s">
        <v>1764</v>
      </c>
      <c r="C1" s="32" t="s">
        <v>1765</v>
      </c>
      <c r="D1" s="34" t="s">
        <v>1992</v>
      </c>
      <c r="E1" s="39" t="s">
        <v>1994</v>
      </c>
      <c r="F1" s="41" t="s">
        <v>2021</v>
      </c>
      <c r="G1" s="35" t="s">
        <v>1992</v>
      </c>
      <c r="H1" s="35" t="s">
        <v>1</v>
      </c>
      <c r="I1" s="35" t="s">
        <v>13</v>
      </c>
      <c r="J1" s="35" t="s">
        <v>1994</v>
      </c>
      <c r="K1" s="35" t="s">
        <v>1993</v>
      </c>
      <c r="L1" s="35" t="s">
        <v>2022</v>
      </c>
    </row>
    <row r="2" spans="1:12" ht="15.75" thickTop="1" x14ac:dyDescent="0.25">
      <c r="A2" t="s">
        <v>1952</v>
      </c>
      <c r="B2" t="s">
        <v>1951</v>
      </c>
      <c r="C2" t="s">
        <v>1953</v>
      </c>
      <c r="D2" s="35" t="s">
        <v>1992</v>
      </c>
      <c r="E2" s="40" t="s">
        <v>1997</v>
      </c>
      <c r="F2" s="13"/>
      <c r="G2" t="s">
        <v>35</v>
      </c>
      <c r="H2" t="s">
        <v>4</v>
      </c>
      <c r="J2" t="s">
        <v>1997</v>
      </c>
      <c r="K2" s="36">
        <v>0.95</v>
      </c>
      <c r="L2" t="b">
        <f>IF(AND(I2="",J2=""),TRUE, FALSE)</f>
        <v>0</v>
      </c>
    </row>
    <row r="3" spans="1:12" x14ac:dyDescent="0.25">
      <c r="A3" t="s">
        <v>1954</v>
      </c>
      <c r="B3" t="s">
        <v>1951</v>
      </c>
      <c r="C3" t="s">
        <v>1953</v>
      </c>
      <c r="D3" t="s">
        <v>35</v>
      </c>
      <c r="E3" s="40" t="s">
        <v>1997</v>
      </c>
      <c r="F3" s="13"/>
      <c r="G3" t="s">
        <v>89</v>
      </c>
      <c r="H3" t="s">
        <v>4</v>
      </c>
      <c r="K3" s="36">
        <v>0</v>
      </c>
      <c r="L3" t="b">
        <f t="shared" ref="L3:L66" si="0">IF(AND(I3="",J3=""),TRUE, FALSE)</f>
        <v>1</v>
      </c>
    </row>
    <row r="4" spans="1:12" x14ac:dyDescent="0.25">
      <c r="A4" t="s">
        <v>1790</v>
      </c>
      <c r="B4" t="s">
        <v>1791</v>
      </c>
      <c r="C4" t="s">
        <v>1792</v>
      </c>
      <c r="D4" t="s">
        <v>89</v>
      </c>
      <c r="E4" s="40" t="s">
        <v>36</v>
      </c>
      <c r="F4" s="13"/>
      <c r="G4" t="s">
        <v>107</v>
      </c>
      <c r="H4" t="s">
        <v>4</v>
      </c>
      <c r="K4" s="36">
        <v>0</v>
      </c>
      <c r="L4" t="b">
        <f t="shared" si="0"/>
        <v>1</v>
      </c>
    </row>
    <row r="5" spans="1:12" x14ac:dyDescent="0.25">
      <c r="A5" t="s">
        <v>1900</v>
      </c>
      <c r="B5" t="s">
        <v>1901</v>
      </c>
      <c r="C5" t="s">
        <v>1902</v>
      </c>
      <c r="D5" t="s">
        <v>107</v>
      </c>
      <c r="E5" s="40" t="s">
        <v>85</v>
      </c>
      <c r="F5" s="13"/>
      <c r="G5" t="s">
        <v>36</v>
      </c>
      <c r="H5" t="s">
        <v>4</v>
      </c>
      <c r="J5" t="s">
        <v>36</v>
      </c>
      <c r="K5" s="36">
        <v>1</v>
      </c>
      <c r="L5" t="b">
        <f t="shared" si="0"/>
        <v>0</v>
      </c>
    </row>
    <row r="6" spans="1:12" x14ac:dyDescent="0.25">
      <c r="A6" t="s">
        <v>1775</v>
      </c>
      <c r="B6" t="s">
        <v>1773</v>
      </c>
      <c r="C6" t="s">
        <v>1776</v>
      </c>
      <c r="D6" t="s">
        <v>36</v>
      </c>
      <c r="E6" s="40" t="s">
        <v>85</v>
      </c>
      <c r="F6" s="13"/>
      <c r="G6" t="s">
        <v>85</v>
      </c>
      <c r="H6" t="s">
        <v>4</v>
      </c>
      <c r="J6" t="s">
        <v>85</v>
      </c>
      <c r="K6" s="36">
        <v>1</v>
      </c>
      <c r="L6" t="b">
        <f t="shared" si="0"/>
        <v>0</v>
      </c>
    </row>
    <row r="7" spans="1:12" x14ac:dyDescent="0.25">
      <c r="A7" t="s">
        <v>1822</v>
      </c>
      <c r="B7" t="s">
        <v>1823</v>
      </c>
      <c r="C7" t="s">
        <v>1824</v>
      </c>
      <c r="D7" t="s">
        <v>85</v>
      </c>
      <c r="E7" s="40" t="s">
        <v>3</v>
      </c>
      <c r="F7" s="13"/>
      <c r="G7" t="s">
        <v>3</v>
      </c>
      <c r="H7" t="s">
        <v>1978</v>
      </c>
      <c r="J7" t="s">
        <v>3</v>
      </c>
      <c r="K7" s="36">
        <v>1</v>
      </c>
      <c r="L7" t="b">
        <f t="shared" si="0"/>
        <v>0</v>
      </c>
    </row>
    <row r="8" spans="1:12" x14ac:dyDescent="0.25">
      <c r="A8" t="s">
        <v>1825</v>
      </c>
      <c r="B8" t="s">
        <v>1826</v>
      </c>
      <c r="C8" t="s">
        <v>1827</v>
      </c>
      <c r="D8" t="s">
        <v>3</v>
      </c>
      <c r="E8" s="40" t="s">
        <v>3</v>
      </c>
      <c r="F8" s="13"/>
      <c r="G8" t="s">
        <v>87</v>
      </c>
      <c r="H8" t="s">
        <v>4</v>
      </c>
      <c r="K8" s="36"/>
      <c r="L8" t="b">
        <f t="shared" si="0"/>
        <v>1</v>
      </c>
    </row>
    <row r="9" spans="1:12" x14ac:dyDescent="0.25">
      <c r="A9" t="s">
        <v>1860</v>
      </c>
      <c r="B9" t="s">
        <v>1861</v>
      </c>
      <c r="C9" t="s">
        <v>1862</v>
      </c>
      <c r="D9" t="s">
        <v>87</v>
      </c>
      <c r="E9" s="40" t="s">
        <v>70</v>
      </c>
      <c r="F9" s="13"/>
      <c r="G9" t="s">
        <v>70</v>
      </c>
      <c r="H9" t="s">
        <v>4</v>
      </c>
      <c r="J9" t="s">
        <v>70</v>
      </c>
      <c r="K9" s="36">
        <v>1</v>
      </c>
      <c r="L9" t="b">
        <f t="shared" si="0"/>
        <v>0</v>
      </c>
    </row>
    <row r="10" spans="1:12" x14ac:dyDescent="0.25">
      <c r="A10" t="s">
        <v>1888</v>
      </c>
      <c r="B10" t="s">
        <v>1889</v>
      </c>
      <c r="C10" t="s">
        <v>1890</v>
      </c>
      <c r="D10" t="s">
        <v>70</v>
      </c>
      <c r="E10" s="40" t="s">
        <v>2005</v>
      </c>
      <c r="F10" s="13"/>
      <c r="G10" t="s">
        <v>37</v>
      </c>
      <c r="H10" t="s">
        <v>1978</v>
      </c>
      <c r="J10" t="s">
        <v>2005</v>
      </c>
      <c r="K10" s="36">
        <v>0.96666666666666667</v>
      </c>
      <c r="L10" t="b">
        <f t="shared" si="0"/>
        <v>0</v>
      </c>
    </row>
    <row r="11" spans="1:12" x14ac:dyDescent="0.25">
      <c r="A11" t="s">
        <v>1878</v>
      </c>
      <c r="B11" t="s">
        <v>1879</v>
      </c>
      <c r="C11" t="s">
        <v>1880</v>
      </c>
      <c r="D11" t="s">
        <v>25</v>
      </c>
      <c r="E11" s="40" t="s">
        <v>25</v>
      </c>
      <c r="F11" s="13"/>
      <c r="G11" t="s">
        <v>25</v>
      </c>
      <c r="H11" t="s">
        <v>1988</v>
      </c>
      <c r="I11" t="b">
        <v>1</v>
      </c>
      <c r="J11" t="s">
        <v>25</v>
      </c>
      <c r="K11" s="36">
        <v>1</v>
      </c>
      <c r="L11" t="b">
        <f t="shared" si="0"/>
        <v>0</v>
      </c>
    </row>
    <row r="12" spans="1:12" x14ac:dyDescent="0.25">
      <c r="A12" t="s">
        <v>1906</v>
      </c>
      <c r="B12" t="s">
        <v>1907</v>
      </c>
      <c r="C12" t="s">
        <v>1908</v>
      </c>
      <c r="D12" t="s">
        <v>83</v>
      </c>
      <c r="E12" s="40" t="s">
        <v>25</v>
      </c>
      <c r="F12" s="13"/>
      <c r="G12" t="s">
        <v>83</v>
      </c>
      <c r="H12" t="s">
        <v>4</v>
      </c>
      <c r="K12" s="36">
        <v>0</v>
      </c>
      <c r="L12" t="b">
        <f t="shared" si="0"/>
        <v>1</v>
      </c>
    </row>
    <row r="13" spans="1:12" x14ac:dyDescent="0.25">
      <c r="A13" t="s">
        <v>1814</v>
      </c>
      <c r="B13" t="s">
        <v>1820</v>
      </c>
      <c r="C13" t="s">
        <v>1821</v>
      </c>
      <c r="D13" t="s">
        <v>47</v>
      </c>
      <c r="E13" s="40" t="s">
        <v>150</v>
      </c>
      <c r="F13" s="13"/>
      <c r="G13" t="s">
        <v>47</v>
      </c>
      <c r="H13" t="s">
        <v>4</v>
      </c>
      <c r="J13" t="s">
        <v>47</v>
      </c>
      <c r="K13" s="36">
        <v>1</v>
      </c>
      <c r="L13" t="b">
        <f t="shared" si="0"/>
        <v>0</v>
      </c>
    </row>
    <row r="14" spans="1:12" x14ac:dyDescent="0.25">
      <c r="A14" t="s">
        <v>1849</v>
      </c>
      <c r="B14" t="s">
        <v>1850</v>
      </c>
      <c r="C14" t="s">
        <v>1851</v>
      </c>
      <c r="D14" t="s">
        <v>48</v>
      </c>
      <c r="E14" s="13" t="s">
        <v>47</v>
      </c>
      <c r="F14" s="13"/>
      <c r="G14" t="s">
        <v>48</v>
      </c>
      <c r="H14" t="s">
        <v>4</v>
      </c>
      <c r="K14" s="36">
        <v>0</v>
      </c>
      <c r="L14" t="b">
        <f t="shared" si="0"/>
        <v>1</v>
      </c>
    </row>
    <row r="15" spans="1:12" x14ac:dyDescent="0.25">
      <c r="A15" t="s">
        <v>1799</v>
      </c>
      <c r="B15" t="s">
        <v>1800</v>
      </c>
      <c r="C15" t="s">
        <v>1801</v>
      </c>
      <c r="D15" t="s">
        <v>88</v>
      </c>
      <c r="E15" s="13" t="s">
        <v>2003</v>
      </c>
      <c r="F15" s="13"/>
      <c r="G15" t="s">
        <v>62</v>
      </c>
      <c r="H15" t="s">
        <v>4</v>
      </c>
      <c r="K15" s="36">
        <v>0</v>
      </c>
      <c r="L15" t="b">
        <f t="shared" si="0"/>
        <v>1</v>
      </c>
    </row>
    <row r="16" spans="1:12" x14ac:dyDescent="0.25">
      <c r="A16" t="s">
        <v>1903</v>
      </c>
      <c r="B16" t="s">
        <v>1904</v>
      </c>
      <c r="C16" t="s">
        <v>1905</v>
      </c>
      <c r="D16" t="s">
        <v>46</v>
      </c>
      <c r="E16" s="13" t="s">
        <v>38</v>
      </c>
      <c r="F16" s="13"/>
      <c r="G16" t="s">
        <v>88</v>
      </c>
      <c r="H16" t="s">
        <v>4</v>
      </c>
      <c r="K16" s="36">
        <v>0</v>
      </c>
      <c r="L16" t="b">
        <f t="shared" si="0"/>
        <v>1</v>
      </c>
    </row>
    <row r="17" spans="1:12" x14ac:dyDescent="0.25">
      <c r="A17" t="s">
        <v>1811</v>
      </c>
      <c r="B17" t="s">
        <v>1812</v>
      </c>
      <c r="C17" t="s">
        <v>1813</v>
      </c>
      <c r="D17" t="s">
        <v>38</v>
      </c>
      <c r="E17" s="40" t="s">
        <v>1999</v>
      </c>
      <c r="F17" s="13"/>
      <c r="G17" t="s">
        <v>46</v>
      </c>
      <c r="H17" t="s">
        <v>2016</v>
      </c>
      <c r="I17" t="b">
        <v>1</v>
      </c>
      <c r="K17" s="36">
        <v>0</v>
      </c>
      <c r="L17" t="b">
        <f t="shared" si="0"/>
        <v>0</v>
      </c>
    </row>
    <row r="18" spans="1:12" x14ac:dyDescent="0.25">
      <c r="A18" t="s">
        <v>1857</v>
      </c>
      <c r="B18" t="s">
        <v>1858</v>
      </c>
      <c r="C18" t="s">
        <v>1859</v>
      </c>
      <c r="D18" t="s">
        <v>92</v>
      </c>
      <c r="E18" s="40" t="s">
        <v>1999</v>
      </c>
      <c r="F18" s="13"/>
      <c r="G18" t="s">
        <v>38</v>
      </c>
      <c r="H18" t="s">
        <v>1980</v>
      </c>
      <c r="J18" t="s">
        <v>38</v>
      </c>
      <c r="K18" s="36">
        <v>1</v>
      </c>
      <c r="L18" t="b">
        <f t="shared" si="0"/>
        <v>0</v>
      </c>
    </row>
    <row r="19" spans="1:12" x14ac:dyDescent="0.25">
      <c r="A19" t="s">
        <v>1939</v>
      </c>
      <c r="B19" t="s">
        <v>1940</v>
      </c>
      <c r="C19" t="s">
        <v>1941</v>
      </c>
      <c r="D19" t="s">
        <v>93</v>
      </c>
      <c r="E19" s="40" t="s">
        <v>706</v>
      </c>
      <c r="F19" s="13"/>
      <c r="G19" t="s">
        <v>92</v>
      </c>
      <c r="H19" t="s">
        <v>4</v>
      </c>
      <c r="K19" s="36">
        <v>0</v>
      </c>
      <c r="L19" t="b">
        <f t="shared" si="0"/>
        <v>1</v>
      </c>
    </row>
    <row r="20" spans="1:12" x14ac:dyDescent="0.25">
      <c r="A20" t="s">
        <v>1918</v>
      </c>
      <c r="B20" t="s">
        <v>1919</v>
      </c>
      <c r="C20" t="s">
        <v>1920</v>
      </c>
      <c r="D20" t="s">
        <v>39</v>
      </c>
      <c r="E20" s="13" t="s">
        <v>42</v>
      </c>
      <c r="F20" s="13"/>
      <c r="G20" t="s">
        <v>93</v>
      </c>
      <c r="H20" t="s">
        <v>4</v>
      </c>
      <c r="K20" s="36">
        <v>0</v>
      </c>
      <c r="L20" t="b">
        <f t="shared" si="0"/>
        <v>1</v>
      </c>
    </row>
    <row r="21" spans="1:12" x14ac:dyDescent="0.25">
      <c r="A21" t="s">
        <v>1787</v>
      </c>
      <c r="B21" t="s">
        <v>1955</v>
      </c>
      <c r="C21" t="s">
        <v>1956</v>
      </c>
      <c r="D21" t="s">
        <v>49</v>
      </c>
      <c r="E21" t="s">
        <v>42</v>
      </c>
      <c r="F21" s="13"/>
      <c r="G21" t="s">
        <v>39</v>
      </c>
      <c r="H21" t="s">
        <v>1982</v>
      </c>
      <c r="I21" t="b">
        <v>1</v>
      </c>
      <c r="J21" t="s">
        <v>1999</v>
      </c>
      <c r="K21" s="36">
        <v>0.83116883116883111</v>
      </c>
      <c r="L21" t="b">
        <f t="shared" si="0"/>
        <v>0</v>
      </c>
    </row>
    <row r="22" spans="1:12" x14ac:dyDescent="0.25">
      <c r="A22" t="s">
        <v>1930</v>
      </c>
      <c r="B22" t="s">
        <v>1931</v>
      </c>
      <c r="C22" t="s">
        <v>1932</v>
      </c>
      <c r="D22" t="s">
        <v>94</v>
      </c>
      <c r="E22" s="40" t="s">
        <v>21</v>
      </c>
      <c r="F22" s="13"/>
      <c r="G22" t="s">
        <v>108</v>
      </c>
      <c r="H22" t="s">
        <v>1978</v>
      </c>
      <c r="K22" s="36">
        <v>0</v>
      </c>
      <c r="L22" t="b">
        <f t="shared" si="0"/>
        <v>1</v>
      </c>
    </row>
    <row r="23" spans="1:12" x14ac:dyDescent="0.25">
      <c r="A23" t="s">
        <v>1966</v>
      </c>
      <c r="B23" t="s">
        <v>1777</v>
      </c>
      <c r="C23" t="s">
        <v>1967</v>
      </c>
      <c r="D23" t="s">
        <v>218</v>
      </c>
      <c r="E23" s="40" t="s">
        <v>21</v>
      </c>
      <c r="F23" s="13"/>
      <c r="G23" t="s">
        <v>109</v>
      </c>
      <c r="H23" t="s">
        <v>4</v>
      </c>
      <c r="K23" s="36">
        <v>0</v>
      </c>
      <c r="L23" t="b">
        <f t="shared" si="0"/>
        <v>1</v>
      </c>
    </row>
    <row r="24" spans="1:12" x14ac:dyDescent="0.25">
      <c r="A24" t="s">
        <v>1834</v>
      </c>
      <c r="B24" t="s">
        <v>1835</v>
      </c>
      <c r="C24" t="s">
        <v>1836</v>
      </c>
      <c r="D24" t="s">
        <v>110</v>
      </c>
      <c r="E24" s="40" t="s">
        <v>5</v>
      </c>
      <c r="F24" s="13"/>
      <c r="G24" t="s">
        <v>49</v>
      </c>
      <c r="H24" t="s">
        <v>1978</v>
      </c>
      <c r="K24" s="36">
        <v>0</v>
      </c>
      <c r="L24" t="b">
        <f t="shared" si="0"/>
        <v>1</v>
      </c>
    </row>
    <row r="25" spans="1:12" x14ac:dyDescent="0.25">
      <c r="A25" t="s">
        <v>1777</v>
      </c>
      <c r="B25" t="s">
        <v>1778</v>
      </c>
      <c r="C25" t="s">
        <v>1779</v>
      </c>
      <c r="D25" t="s">
        <v>78</v>
      </c>
      <c r="E25" s="40" t="s">
        <v>2013</v>
      </c>
      <c r="F25" s="13"/>
      <c r="G25" t="s">
        <v>94</v>
      </c>
      <c r="H25" t="s">
        <v>1978</v>
      </c>
      <c r="K25" s="36">
        <v>0</v>
      </c>
      <c r="L25" t="b">
        <f t="shared" si="0"/>
        <v>1</v>
      </c>
    </row>
    <row r="26" spans="1:12" x14ac:dyDescent="0.25">
      <c r="A26" t="s">
        <v>1927</v>
      </c>
      <c r="B26" t="s">
        <v>1928</v>
      </c>
      <c r="C26" t="s">
        <v>1929</v>
      </c>
      <c r="D26" t="s">
        <v>42</v>
      </c>
      <c r="E26" s="40" t="s">
        <v>2011</v>
      </c>
      <c r="F26" s="13"/>
      <c r="G26" t="s">
        <v>218</v>
      </c>
      <c r="H26" t="s">
        <v>4</v>
      </c>
      <c r="K26" s="36">
        <v>0</v>
      </c>
      <c r="L26" t="b">
        <f t="shared" si="0"/>
        <v>1</v>
      </c>
    </row>
    <row r="27" spans="1:12" x14ac:dyDescent="0.25">
      <c r="A27" t="s">
        <v>1837</v>
      </c>
      <c r="B27" t="s">
        <v>1838</v>
      </c>
      <c r="C27" t="s">
        <v>1839</v>
      </c>
      <c r="D27" t="s">
        <v>40</v>
      </c>
      <c r="E27" s="40" t="s">
        <v>2011</v>
      </c>
      <c r="F27" s="13"/>
      <c r="G27" t="s">
        <v>110</v>
      </c>
      <c r="H27" t="s">
        <v>4</v>
      </c>
      <c r="K27" s="36">
        <v>0</v>
      </c>
      <c r="L27" t="b">
        <f t="shared" si="0"/>
        <v>1</v>
      </c>
    </row>
    <row r="28" spans="1:12" x14ac:dyDescent="0.25">
      <c r="A28" t="s">
        <v>1868</v>
      </c>
      <c r="B28" t="s">
        <v>1869</v>
      </c>
      <c r="C28" t="s">
        <v>1870</v>
      </c>
      <c r="D28" t="s">
        <v>96</v>
      </c>
      <c r="E28" s="40" t="s">
        <v>2002</v>
      </c>
      <c r="F28" s="13"/>
      <c r="G28" t="s">
        <v>78</v>
      </c>
      <c r="H28" t="s">
        <v>4</v>
      </c>
      <c r="K28" s="36"/>
      <c r="L28" t="b">
        <f t="shared" si="0"/>
        <v>1</v>
      </c>
    </row>
    <row r="29" spans="1:12" x14ac:dyDescent="0.25">
      <c r="A29" t="s">
        <v>1875</v>
      </c>
      <c r="B29" t="s">
        <v>1876</v>
      </c>
      <c r="C29" t="s">
        <v>1877</v>
      </c>
      <c r="D29" t="s">
        <v>21</v>
      </c>
      <c r="E29" s="40" t="s">
        <v>1995</v>
      </c>
      <c r="F29" s="13"/>
      <c r="G29" t="s">
        <v>42</v>
      </c>
      <c r="H29" t="s">
        <v>1986</v>
      </c>
      <c r="I29" t="b">
        <v>1</v>
      </c>
      <c r="J29" t="s">
        <v>42</v>
      </c>
      <c r="K29" s="36">
        <v>1</v>
      </c>
      <c r="L29" t="b">
        <f t="shared" si="0"/>
        <v>0</v>
      </c>
    </row>
    <row r="30" spans="1:12" x14ac:dyDescent="0.25">
      <c r="A30" t="s">
        <v>1766</v>
      </c>
      <c r="B30" t="s">
        <v>1767</v>
      </c>
      <c r="C30" t="s">
        <v>1768</v>
      </c>
      <c r="D30" t="s">
        <v>5</v>
      </c>
      <c r="E30" s="40" t="s">
        <v>1995</v>
      </c>
      <c r="F30" s="13"/>
      <c r="G30" t="s">
        <v>40</v>
      </c>
      <c r="H30" t="s">
        <v>4</v>
      </c>
      <c r="K30" s="36">
        <v>0</v>
      </c>
      <c r="L30" t="b">
        <f t="shared" si="0"/>
        <v>1</v>
      </c>
    </row>
    <row r="31" spans="1:12" x14ac:dyDescent="0.25">
      <c r="A31" t="s">
        <v>1924</v>
      </c>
      <c r="B31" t="s">
        <v>1925</v>
      </c>
      <c r="C31" t="s">
        <v>1926</v>
      </c>
      <c r="D31" t="s">
        <v>97</v>
      </c>
      <c r="E31" s="40" t="s">
        <v>52</v>
      </c>
      <c r="F31" s="13"/>
      <c r="G31" t="s">
        <v>96</v>
      </c>
      <c r="H31" t="s">
        <v>4</v>
      </c>
      <c r="K31" s="36">
        <v>0</v>
      </c>
      <c r="L31" t="b">
        <f t="shared" si="0"/>
        <v>1</v>
      </c>
    </row>
    <row r="32" spans="1:12" x14ac:dyDescent="0.25">
      <c r="A32" t="s">
        <v>1808</v>
      </c>
      <c r="B32" t="s">
        <v>1809</v>
      </c>
      <c r="C32" t="s">
        <v>1810</v>
      </c>
      <c r="D32" t="s">
        <v>63</v>
      </c>
      <c r="E32" s="40" t="s">
        <v>52</v>
      </c>
      <c r="F32" s="13"/>
      <c r="G32" t="s">
        <v>21</v>
      </c>
      <c r="H32" t="s">
        <v>1984</v>
      </c>
      <c r="I32" t="b">
        <v>1</v>
      </c>
      <c r="J32" t="s">
        <v>21</v>
      </c>
      <c r="K32" s="36">
        <v>1</v>
      </c>
      <c r="L32" t="b">
        <f t="shared" si="0"/>
        <v>0</v>
      </c>
    </row>
    <row r="33" spans="1:12" x14ac:dyDescent="0.25">
      <c r="A33" t="s">
        <v>1871</v>
      </c>
      <c r="B33" t="s">
        <v>1872</v>
      </c>
      <c r="C33" t="s">
        <v>1873</v>
      </c>
      <c r="D33" t="s">
        <v>26</v>
      </c>
      <c r="E33" s="40" t="s">
        <v>72</v>
      </c>
      <c r="F33" s="13"/>
      <c r="G33" t="s">
        <v>5</v>
      </c>
      <c r="H33" t="s">
        <v>4</v>
      </c>
      <c r="J33" t="s">
        <v>5</v>
      </c>
      <c r="K33" s="36">
        <v>1</v>
      </c>
      <c r="L33" t="b">
        <f t="shared" si="0"/>
        <v>0</v>
      </c>
    </row>
    <row r="34" spans="1:12" x14ac:dyDescent="0.25">
      <c r="A34" t="s">
        <v>1971</v>
      </c>
      <c r="B34" t="s">
        <v>1972</v>
      </c>
      <c r="C34" t="s">
        <v>1973</v>
      </c>
      <c r="D34" t="s">
        <v>114</v>
      </c>
      <c r="E34" t="s">
        <v>27</v>
      </c>
      <c r="F34" s="13"/>
      <c r="G34" t="s">
        <v>97</v>
      </c>
      <c r="H34" t="s">
        <v>4</v>
      </c>
      <c r="K34" s="36">
        <v>0</v>
      </c>
      <c r="L34" t="b">
        <f t="shared" si="0"/>
        <v>1</v>
      </c>
    </row>
    <row r="35" spans="1:12" x14ac:dyDescent="0.25">
      <c r="A35" t="s">
        <v>1817</v>
      </c>
      <c r="B35" t="s">
        <v>1818</v>
      </c>
      <c r="C35" t="s">
        <v>1819</v>
      </c>
      <c r="D35" t="s">
        <v>50</v>
      </c>
      <c r="E35" t="s">
        <v>27</v>
      </c>
      <c r="F35" s="13"/>
      <c r="G35" t="s">
        <v>63</v>
      </c>
      <c r="H35" t="s">
        <v>1978</v>
      </c>
      <c r="K35" s="36">
        <v>0</v>
      </c>
      <c r="L35" t="b">
        <f t="shared" si="0"/>
        <v>1</v>
      </c>
    </row>
    <row r="36" spans="1:12" x14ac:dyDescent="0.25">
      <c r="A36" t="s">
        <v>1840</v>
      </c>
      <c r="B36" t="s">
        <v>1841</v>
      </c>
      <c r="C36" t="s">
        <v>1842</v>
      </c>
      <c r="D36" t="s">
        <v>74</v>
      </c>
      <c r="E36" s="40" t="s">
        <v>2001</v>
      </c>
      <c r="F36" s="13"/>
      <c r="G36" t="s">
        <v>26</v>
      </c>
      <c r="H36" t="s">
        <v>1990</v>
      </c>
      <c r="I36" t="b">
        <v>1</v>
      </c>
      <c r="J36" t="s">
        <v>2002</v>
      </c>
      <c r="K36" s="36">
        <v>0.73303167420814486</v>
      </c>
      <c r="L36" t="b">
        <f t="shared" si="0"/>
        <v>0</v>
      </c>
    </row>
    <row r="37" spans="1:12" x14ac:dyDescent="0.25">
      <c r="A37" t="s">
        <v>1960</v>
      </c>
      <c r="B37" t="s">
        <v>1961</v>
      </c>
      <c r="C37" t="s">
        <v>1962</v>
      </c>
      <c r="D37" t="s">
        <v>98</v>
      </c>
      <c r="E37" s="40" t="s">
        <v>2001</v>
      </c>
      <c r="F37" s="13"/>
      <c r="G37" t="s">
        <v>114</v>
      </c>
      <c r="H37" t="s">
        <v>45</v>
      </c>
      <c r="K37" s="36">
        <v>0</v>
      </c>
      <c r="L37" t="b">
        <f t="shared" si="0"/>
        <v>1</v>
      </c>
    </row>
    <row r="38" spans="1:12" x14ac:dyDescent="0.25">
      <c r="A38" t="s">
        <v>1793</v>
      </c>
      <c r="B38" t="s">
        <v>1794</v>
      </c>
      <c r="C38" t="s">
        <v>1795</v>
      </c>
      <c r="D38" t="s">
        <v>51</v>
      </c>
      <c r="E38" s="40" t="s">
        <v>2015</v>
      </c>
      <c r="F38" s="13"/>
      <c r="G38" t="s">
        <v>50</v>
      </c>
      <c r="H38" t="s">
        <v>4</v>
      </c>
      <c r="K38" s="36">
        <v>0</v>
      </c>
      <c r="L38" t="b">
        <f t="shared" si="0"/>
        <v>1</v>
      </c>
    </row>
    <row r="39" spans="1:12" x14ac:dyDescent="0.25">
      <c r="A39" t="s">
        <v>1865</v>
      </c>
      <c r="B39" t="s">
        <v>1866</v>
      </c>
      <c r="C39" t="s">
        <v>1867</v>
      </c>
      <c r="D39" t="s">
        <v>52</v>
      </c>
      <c r="E39" s="40" t="s">
        <v>61</v>
      </c>
      <c r="F39" s="13"/>
      <c r="G39" t="s">
        <v>74</v>
      </c>
      <c r="H39" t="s">
        <v>1988</v>
      </c>
      <c r="I39" t="b">
        <v>1</v>
      </c>
      <c r="K39" s="36"/>
      <c r="L39" t="b">
        <f t="shared" si="0"/>
        <v>0</v>
      </c>
    </row>
    <row r="40" spans="1:12" x14ac:dyDescent="0.25">
      <c r="A40" t="s">
        <v>1897</v>
      </c>
      <c r="B40" t="s">
        <v>1898</v>
      </c>
      <c r="C40" t="s">
        <v>1899</v>
      </c>
      <c r="D40" t="s">
        <v>72</v>
      </c>
      <c r="E40" s="40" t="s">
        <v>53</v>
      </c>
      <c r="F40" s="13"/>
      <c r="G40" t="s">
        <v>98</v>
      </c>
      <c r="H40" t="s">
        <v>4</v>
      </c>
      <c r="K40" s="36">
        <v>0</v>
      </c>
      <c r="L40" t="b">
        <f t="shared" si="0"/>
        <v>1</v>
      </c>
    </row>
    <row r="41" spans="1:12" x14ac:dyDescent="0.25">
      <c r="A41" t="s">
        <v>1846</v>
      </c>
      <c r="B41" t="s">
        <v>1847</v>
      </c>
      <c r="C41" t="s">
        <v>1848</v>
      </c>
      <c r="D41" t="s">
        <v>27</v>
      </c>
      <c r="E41" s="40" t="s">
        <v>53</v>
      </c>
      <c r="F41" s="13"/>
      <c r="G41" t="s">
        <v>51</v>
      </c>
      <c r="H41" t="s">
        <v>4</v>
      </c>
      <c r="J41" t="s">
        <v>1995</v>
      </c>
      <c r="K41" s="36">
        <v>0.7439613526570048</v>
      </c>
      <c r="L41" t="b">
        <f t="shared" si="0"/>
        <v>0</v>
      </c>
    </row>
    <row r="42" spans="1:12" x14ac:dyDescent="0.25">
      <c r="A42" t="s">
        <v>1909</v>
      </c>
      <c r="B42" t="s">
        <v>1910</v>
      </c>
      <c r="C42" t="s">
        <v>1911</v>
      </c>
      <c r="D42" t="s">
        <v>64</v>
      </c>
      <c r="E42" s="40" t="s">
        <v>834</v>
      </c>
      <c r="F42" s="13"/>
      <c r="G42" t="s">
        <v>52</v>
      </c>
      <c r="H42" t="s">
        <v>1985</v>
      </c>
      <c r="I42" t="b">
        <v>1</v>
      </c>
      <c r="J42" t="s">
        <v>52</v>
      </c>
      <c r="K42" s="36">
        <v>1</v>
      </c>
      <c r="L42" t="b">
        <f t="shared" si="0"/>
        <v>0</v>
      </c>
    </row>
    <row r="43" spans="1:12" x14ac:dyDescent="0.25">
      <c r="A43" t="s">
        <v>1936</v>
      </c>
      <c r="B43" t="s">
        <v>1937</v>
      </c>
      <c r="C43" t="s">
        <v>1938</v>
      </c>
      <c r="D43" t="s">
        <v>28</v>
      </c>
      <c r="E43" s="40" t="s">
        <v>54</v>
      </c>
      <c r="F43" s="13"/>
      <c r="G43" t="s">
        <v>72</v>
      </c>
      <c r="H43" t="s">
        <v>1987</v>
      </c>
      <c r="I43" t="b">
        <v>1</v>
      </c>
      <c r="J43" t="s">
        <v>72</v>
      </c>
      <c r="K43" s="36">
        <v>1</v>
      </c>
      <c r="L43" t="b">
        <f t="shared" si="0"/>
        <v>0</v>
      </c>
    </row>
    <row r="44" spans="1:12" x14ac:dyDescent="0.25">
      <c r="A44" t="s">
        <v>1881</v>
      </c>
      <c r="B44" t="s">
        <v>1882</v>
      </c>
      <c r="C44" t="s">
        <v>1883</v>
      </c>
      <c r="D44" t="s">
        <v>61</v>
      </c>
      <c r="E44" s="40" t="s">
        <v>54</v>
      </c>
      <c r="F44" s="13"/>
      <c r="G44" t="s">
        <v>27</v>
      </c>
      <c r="H44" t="s">
        <v>1978</v>
      </c>
      <c r="J44" t="s">
        <v>27</v>
      </c>
      <c r="K44" s="36">
        <v>1</v>
      </c>
      <c r="L44" t="b">
        <f t="shared" si="0"/>
        <v>0</v>
      </c>
    </row>
    <row r="45" spans="1:12" x14ac:dyDescent="0.25">
      <c r="A45" t="s">
        <v>1881</v>
      </c>
      <c r="B45" t="s">
        <v>1882</v>
      </c>
      <c r="C45" t="s">
        <v>1884</v>
      </c>
      <c r="D45" t="s">
        <v>53</v>
      </c>
      <c r="E45" s="40" t="s">
        <v>29</v>
      </c>
      <c r="F45" s="13"/>
      <c r="G45" t="s">
        <v>64</v>
      </c>
      <c r="H45" t="s">
        <v>4</v>
      </c>
      <c r="J45" t="s">
        <v>2001</v>
      </c>
      <c r="K45" s="36">
        <v>0.9</v>
      </c>
      <c r="L45" t="b">
        <f t="shared" si="0"/>
        <v>0</v>
      </c>
    </row>
    <row r="46" spans="1:12" x14ac:dyDescent="0.25">
      <c r="A46" t="s">
        <v>1942</v>
      </c>
      <c r="B46" t="s">
        <v>1943</v>
      </c>
      <c r="C46" t="s">
        <v>1944</v>
      </c>
      <c r="D46" t="s">
        <v>834</v>
      </c>
      <c r="E46" s="40" t="s">
        <v>29</v>
      </c>
      <c r="F46" s="13"/>
      <c r="G46" t="s">
        <v>28</v>
      </c>
      <c r="H46" t="s">
        <v>4</v>
      </c>
      <c r="K46" s="36">
        <v>0</v>
      </c>
      <c r="L46" t="b">
        <f t="shared" si="0"/>
        <v>1</v>
      </c>
    </row>
    <row r="47" spans="1:12" x14ac:dyDescent="0.25">
      <c r="A47" t="s">
        <v>1891</v>
      </c>
      <c r="B47" t="s">
        <v>1892</v>
      </c>
      <c r="C47" t="s">
        <v>1893</v>
      </c>
      <c r="D47" t="s">
        <v>54</v>
      </c>
      <c r="E47" s="40" t="s">
        <v>29</v>
      </c>
      <c r="F47" s="13"/>
      <c r="G47" t="s">
        <v>61</v>
      </c>
      <c r="H47" t="s">
        <v>1989</v>
      </c>
      <c r="I47" t="b">
        <v>1</v>
      </c>
      <c r="J47" t="s">
        <v>61</v>
      </c>
      <c r="K47" s="36">
        <v>1</v>
      </c>
      <c r="L47" t="b">
        <f t="shared" si="0"/>
        <v>0</v>
      </c>
    </row>
    <row r="48" spans="1:12" x14ac:dyDescent="0.25">
      <c r="A48" t="s">
        <v>1957</v>
      </c>
      <c r="B48" t="s">
        <v>1958</v>
      </c>
      <c r="C48" t="s">
        <v>1959</v>
      </c>
      <c r="D48" t="s">
        <v>29</v>
      </c>
      <c r="E48" s="40" t="s">
        <v>2006</v>
      </c>
      <c r="F48" s="13"/>
      <c r="G48" t="s">
        <v>53</v>
      </c>
      <c r="H48" t="s">
        <v>1978</v>
      </c>
      <c r="J48" t="s">
        <v>53</v>
      </c>
      <c r="K48" s="36">
        <v>1</v>
      </c>
      <c r="L48" t="b">
        <f t="shared" si="0"/>
        <v>0</v>
      </c>
    </row>
    <row r="49" spans="1:12" x14ac:dyDescent="0.25">
      <c r="A49" t="s">
        <v>1949</v>
      </c>
      <c r="B49" t="s">
        <v>1948</v>
      </c>
      <c r="C49" t="s">
        <v>1950</v>
      </c>
      <c r="D49" t="s">
        <v>55</v>
      </c>
      <c r="E49" s="40" t="s">
        <v>2006</v>
      </c>
      <c r="F49" s="13"/>
      <c r="G49" t="s">
        <v>834</v>
      </c>
      <c r="H49" t="s">
        <v>4</v>
      </c>
      <c r="J49" t="s">
        <v>834</v>
      </c>
      <c r="K49" s="36">
        <v>1</v>
      </c>
      <c r="L49" t="b">
        <f t="shared" si="0"/>
        <v>0</v>
      </c>
    </row>
    <row r="50" spans="1:12" x14ac:dyDescent="0.25">
      <c r="A50" t="s">
        <v>1912</v>
      </c>
      <c r="B50" t="s">
        <v>1913</v>
      </c>
      <c r="C50" t="s">
        <v>1914</v>
      </c>
      <c r="D50" t="s">
        <v>65</v>
      </c>
      <c r="E50" s="40" t="s">
        <v>2006</v>
      </c>
      <c r="F50" s="13"/>
      <c r="G50" t="s">
        <v>54</v>
      </c>
      <c r="H50" t="s">
        <v>1978</v>
      </c>
      <c r="J50" t="s">
        <v>54</v>
      </c>
      <c r="K50" s="36">
        <v>1</v>
      </c>
      <c r="L50" t="b">
        <f t="shared" si="0"/>
        <v>0</v>
      </c>
    </row>
    <row r="51" spans="1:12" x14ac:dyDescent="0.25">
      <c r="A51" t="s">
        <v>1915</v>
      </c>
      <c r="B51" t="s">
        <v>1916</v>
      </c>
      <c r="C51" t="s">
        <v>1917</v>
      </c>
      <c r="D51" t="s">
        <v>103</v>
      </c>
      <c r="E51" s="40" t="s">
        <v>2008</v>
      </c>
      <c r="F51" s="13"/>
      <c r="G51" t="s">
        <v>29</v>
      </c>
      <c r="H51" t="s">
        <v>4</v>
      </c>
      <c r="J51" t="s">
        <v>29</v>
      </c>
      <c r="K51" s="36">
        <v>1</v>
      </c>
      <c r="L51" t="b">
        <f t="shared" si="0"/>
        <v>0</v>
      </c>
    </row>
    <row r="52" spans="1:12" x14ac:dyDescent="0.25">
      <c r="A52" t="s">
        <v>1963</v>
      </c>
      <c r="B52" t="s">
        <v>1964</v>
      </c>
      <c r="C52" t="s">
        <v>1965</v>
      </c>
      <c r="D52" t="s">
        <v>66</v>
      </c>
      <c r="E52" s="40" t="s">
        <v>2008</v>
      </c>
      <c r="F52" s="13"/>
      <c r="G52" t="s">
        <v>55</v>
      </c>
      <c r="H52" t="s">
        <v>4</v>
      </c>
      <c r="J52" t="s">
        <v>11</v>
      </c>
      <c r="K52" s="36">
        <v>0.558880492695917</v>
      </c>
      <c r="L52" t="b">
        <f t="shared" si="0"/>
        <v>0</v>
      </c>
    </row>
    <row r="53" spans="1:12" x14ac:dyDescent="0.25">
      <c r="A53" t="s">
        <v>1974</v>
      </c>
      <c r="B53" t="s">
        <v>1975</v>
      </c>
      <c r="C53" t="s">
        <v>1976</v>
      </c>
      <c r="D53" t="s">
        <v>30</v>
      </c>
      <c r="E53" s="40" t="s">
        <v>30</v>
      </c>
      <c r="F53" s="13"/>
      <c r="G53" t="s">
        <v>65</v>
      </c>
      <c r="H53" t="s">
        <v>4</v>
      </c>
      <c r="K53" s="36">
        <v>0</v>
      </c>
      <c r="L53" t="b">
        <f t="shared" si="0"/>
        <v>1</v>
      </c>
    </row>
    <row r="54" spans="1:12" x14ac:dyDescent="0.25">
      <c r="A54" t="s">
        <v>1772</v>
      </c>
      <c r="B54" t="s">
        <v>1773</v>
      </c>
      <c r="C54" t="s">
        <v>1774</v>
      </c>
      <c r="D54" t="s">
        <v>71</v>
      </c>
      <c r="E54" s="13" t="s">
        <v>2010</v>
      </c>
      <c r="F54" s="13"/>
      <c r="G54" t="s">
        <v>103</v>
      </c>
      <c r="H54" t="s">
        <v>102</v>
      </c>
      <c r="I54" t="b">
        <v>1</v>
      </c>
      <c r="K54" s="36">
        <v>0</v>
      </c>
      <c r="L54" t="b">
        <f t="shared" si="0"/>
        <v>0</v>
      </c>
    </row>
    <row r="55" spans="1:12" x14ac:dyDescent="0.25">
      <c r="A55" t="s">
        <v>1921</v>
      </c>
      <c r="B55" t="s">
        <v>1922</v>
      </c>
      <c r="C55" t="s">
        <v>1923</v>
      </c>
      <c r="D55" t="s">
        <v>22</v>
      </c>
      <c r="E55" s="13" t="s">
        <v>2010</v>
      </c>
      <c r="F55" s="13"/>
      <c r="G55" t="s">
        <v>66</v>
      </c>
      <c r="H55" t="s">
        <v>4</v>
      </c>
      <c r="K55" s="36">
        <v>0</v>
      </c>
      <c r="L55" t="b">
        <f t="shared" si="0"/>
        <v>1</v>
      </c>
    </row>
    <row r="56" spans="1:12" x14ac:dyDescent="0.25">
      <c r="A56" t="s">
        <v>1763</v>
      </c>
      <c r="B56" t="s">
        <v>1764</v>
      </c>
      <c r="C56" t="s">
        <v>1765</v>
      </c>
      <c r="D56" t="s">
        <v>104</v>
      </c>
      <c r="E56" s="40" t="s">
        <v>2014</v>
      </c>
      <c r="F56" s="13"/>
      <c r="G56" t="s">
        <v>30</v>
      </c>
      <c r="H56" t="s">
        <v>4</v>
      </c>
      <c r="J56" t="s">
        <v>30</v>
      </c>
      <c r="K56" s="36">
        <v>1</v>
      </c>
      <c r="L56" t="b">
        <f t="shared" si="0"/>
        <v>0</v>
      </c>
    </row>
    <row r="57" spans="1:12" x14ac:dyDescent="0.25">
      <c r="A57" t="s">
        <v>1802</v>
      </c>
      <c r="B57" t="s">
        <v>1803</v>
      </c>
      <c r="C57" t="s">
        <v>1804</v>
      </c>
      <c r="D57" t="s">
        <v>111</v>
      </c>
      <c r="E57" s="40" t="s">
        <v>2014</v>
      </c>
      <c r="F57" s="13"/>
      <c r="G57" t="s">
        <v>71</v>
      </c>
      <c r="H57" t="s">
        <v>4</v>
      </c>
      <c r="K57" s="36">
        <v>0</v>
      </c>
      <c r="L57" t="b">
        <f t="shared" si="0"/>
        <v>1</v>
      </c>
    </row>
    <row r="58" spans="1:12" x14ac:dyDescent="0.25">
      <c r="A58" t="s">
        <v>1945</v>
      </c>
      <c r="B58" t="s">
        <v>1946</v>
      </c>
      <c r="C58" t="s">
        <v>1947</v>
      </c>
      <c r="D58" t="s">
        <v>82</v>
      </c>
      <c r="E58" s="40" t="s">
        <v>82</v>
      </c>
      <c r="F58" s="13"/>
      <c r="G58" t="s">
        <v>22</v>
      </c>
      <c r="H58" t="s">
        <v>4</v>
      </c>
      <c r="J58" t="s">
        <v>2010</v>
      </c>
      <c r="K58" s="36">
        <v>0.92307692307692313</v>
      </c>
      <c r="L58" t="b">
        <f t="shared" si="0"/>
        <v>0</v>
      </c>
    </row>
    <row r="59" spans="1:12" x14ac:dyDescent="0.25">
      <c r="A59" t="s">
        <v>1787</v>
      </c>
      <c r="B59" t="s">
        <v>1788</v>
      </c>
      <c r="C59" t="s">
        <v>1789</v>
      </c>
      <c r="D59" t="s">
        <v>99</v>
      </c>
      <c r="E59" s="40" t="s">
        <v>2000</v>
      </c>
      <c r="F59" s="13"/>
      <c r="G59" t="s">
        <v>104</v>
      </c>
      <c r="H59" t="s">
        <v>1991</v>
      </c>
      <c r="I59" t="b">
        <v>1</v>
      </c>
      <c r="K59" s="36">
        <v>0</v>
      </c>
      <c r="L59" t="b">
        <f t="shared" si="0"/>
        <v>0</v>
      </c>
    </row>
    <row r="60" spans="1:12" x14ac:dyDescent="0.25">
      <c r="A60" t="s">
        <v>1796</v>
      </c>
      <c r="B60" t="s">
        <v>1797</v>
      </c>
      <c r="C60" t="s">
        <v>1798</v>
      </c>
      <c r="D60" t="s">
        <v>79</v>
      </c>
      <c r="E60" s="40" t="s">
        <v>2012</v>
      </c>
      <c r="F60" s="13"/>
      <c r="G60" t="s">
        <v>111</v>
      </c>
      <c r="H60" t="s">
        <v>1978</v>
      </c>
      <c r="K60" s="36">
        <v>0</v>
      </c>
      <c r="L60" t="b">
        <f t="shared" si="0"/>
        <v>1</v>
      </c>
    </row>
    <row r="61" spans="1:12" x14ac:dyDescent="0.25">
      <c r="A61" t="s">
        <v>1894</v>
      </c>
      <c r="B61" t="s">
        <v>1895</v>
      </c>
      <c r="C61" t="s">
        <v>1896</v>
      </c>
      <c r="D61" t="s">
        <v>100</v>
      </c>
      <c r="E61" s="40" t="s">
        <v>1996</v>
      </c>
      <c r="F61" s="13"/>
      <c r="G61" t="s">
        <v>82</v>
      </c>
      <c r="H61" t="s">
        <v>4</v>
      </c>
      <c r="J61" t="s">
        <v>82</v>
      </c>
      <c r="K61" s="36">
        <v>1</v>
      </c>
      <c r="L61" t="b">
        <f t="shared" si="0"/>
        <v>0</v>
      </c>
    </row>
    <row r="62" spans="1:12" x14ac:dyDescent="0.25">
      <c r="A62" t="s">
        <v>1780</v>
      </c>
      <c r="B62" t="s">
        <v>1781</v>
      </c>
      <c r="C62" t="s">
        <v>1782</v>
      </c>
      <c r="D62" t="s">
        <v>43</v>
      </c>
      <c r="E62" s="40" t="s">
        <v>1998</v>
      </c>
      <c r="F62" s="13"/>
      <c r="G62" t="s">
        <v>99</v>
      </c>
      <c r="H62" t="s">
        <v>1978</v>
      </c>
      <c r="K62" s="36">
        <v>0</v>
      </c>
      <c r="L62" t="b">
        <f t="shared" si="0"/>
        <v>1</v>
      </c>
    </row>
    <row r="63" spans="1:12" x14ac:dyDescent="0.25">
      <c r="A63" t="s">
        <v>1780</v>
      </c>
      <c r="B63" t="s">
        <v>1781</v>
      </c>
      <c r="C63" t="s">
        <v>1783</v>
      </c>
      <c r="D63" t="s">
        <v>76</v>
      </c>
      <c r="E63" s="13" t="s">
        <v>2009</v>
      </c>
      <c r="F63" s="13"/>
      <c r="G63" t="s">
        <v>79</v>
      </c>
      <c r="H63" t="s">
        <v>4</v>
      </c>
      <c r="J63" t="s">
        <v>2014</v>
      </c>
      <c r="K63" s="36">
        <v>0.76631578947368428</v>
      </c>
      <c r="L63" t="b">
        <f t="shared" si="0"/>
        <v>0</v>
      </c>
    </row>
    <row r="64" spans="1:12" x14ac:dyDescent="0.25">
      <c r="A64" t="s">
        <v>1811</v>
      </c>
      <c r="B64" t="s">
        <v>1874</v>
      </c>
      <c r="C64" t="s">
        <v>1782</v>
      </c>
      <c r="D64" t="s">
        <v>105</v>
      </c>
      <c r="E64" s="40" t="s">
        <v>68</v>
      </c>
      <c r="F64" s="13"/>
      <c r="G64" t="s">
        <v>100</v>
      </c>
      <c r="H64" t="s">
        <v>4</v>
      </c>
      <c r="K64" s="36">
        <v>0</v>
      </c>
      <c r="L64" t="b">
        <f t="shared" si="0"/>
        <v>1</v>
      </c>
    </row>
    <row r="65" spans="1:12" x14ac:dyDescent="0.25">
      <c r="A65" t="s">
        <v>1852</v>
      </c>
      <c r="B65" t="s">
        <v>1853</v>
      </c>
      <c r="C65" t="s">
        <v>1854</v>
      </c>
      <c r="D65" t="s">
        <v>6</v>
      </c>
      <c r="E65" s="40" t="s">
        <v>68</v>
      </c>
      <c r="F65" s="13"/>
      <c r="G65" t="s">
        <v>43</v>
      </c>
      <c r="H65" t="s">
        <v>2017</v>
      </c>
      <c r="I65" t="b">
        <v>1</v>
      </c>
      <c r="K65" s="36">
        <v>0</v>
      </c>
      <c r="L65" t="b">
        <f t="shared" si="0"/>
        <v>0</v>
      </c>
    </row>
    <row r="66" spans="1:12" x14ac:dyDescent="0.25">
      <c r="A66" t="s">
        <v>1814</v>
      </c>
      <c r="B66" t="s">
        <v>1815</v>
      </c>
      <c r="C66" t="s">
        <v>1816</v>
      </c>
      <c r="D66" t="s">
        <v>31</v>
      </c>
      <c r="E66" s="40" t="s">
        <v>68</v>
      </c>
      <c r="F66" s="13"/>
      <c r="G66" t="s">
        <v>76</v>
      </c>
      <c r="H66" t="s">
        <v>41</v>
      </c>
      <c r="I66" t="b">
        <v>1</v>
      </c>
      <c r="K66" s="36">
        <v>0</v>
      </c>
      <c r="L66" t="b">
        <f t="shared" si="0"/>
        <v>0</v>
      </c>
    </row>
    <row r="67" spans="1:12" x14ac:dyDescent="0.25">
      <c r="A67" t="s">
        <v>1968</v>
      </c>
      <c r="B67" t="s">
        <v>1969</v>
      </c>
      <c r="C67" t="s">
        <v>1970</v>
      </c>
      <c r="D67" t="s">
        <v>7</v>
      </c>
      <c r="E67" s="40" t="s">
        <v>2004</v>
      </c>
      <c r="F67" s="13"/>
      <c r="G67" t="s">
        <v>105</v>
      </c>
      <c r="H67" t="s">
        <v>102</v>
      </c>
      <c r="I67" t="b">
        <v>1</v>
      </c>
      <c r="K67" s="36">
        <v>0</v>
      </c>
      <c r="L67" t="b">
        <f t="shared" ref="L67:L98" si="1">IF(AND(I67="",J67=""),TRUE, FALSE)</f>
        <v>0</v>
      </c>
    </row>
    <row r="68" spans="1:12" x14ac:dyDescent="0.25">
      <c r="A68" t="s">
        <v>1805</v>
      </c>
      <c r="B68" t="s">
        <v>1806</v>
      </c>
      <c r="C68" t="s">
        <v>1807</v>
      </c>
      <c r="D68" t="s">
        <v>75</v>
      </c>
      <c r="E68" s="13" t="s">
        <v>449</v>
      </c>
      <c r="F68" s="13"/>
      <c r="G68" t="s">
        <v>6</v>
      </c>
      <c r="H68" t="s">
        <v>1981</v>
      </c>
      <c r="I68" t="b">
        <v>1</v>
      </c>
      <c r="K68" s="36">
        <v>0</v>
      </c>
      <c r="L68" t="b">
        <f t="shared" si="1"/>
        <v>0</v>
      </c>
    </row>
    <row r="69" spans="1:12" x14ac:dyDescent="0.25">
      <c r="A69" t="s">
        <v>1846</v>
      </c>
      <c r="B69" t="s">
        <v>1855</v>
      </c>
      <c r="C69" t="s">
        <v>1856</v>
      </c>
      <c r="D69" t="s">
        <v>67</v>
      </c>
      <c r="E69" s="13" t="s">
        <v>449</v>
      </c>
      <c r="F69" s="13"/>
      <c r="G69" t="s">
        <v>31</v>
      </c>
      <c r="H69" t="s">
        <v>2018</v>
      </c>
      <c r="I69" t="b">
        <v>1</v>
      </c>
      <c r="K69" s="36">
        <v>0</v>
      </c>
      <c r="L69" t="b">
        <f t="shared" si="1"/>
        <v>0</v>
      </c>
    </row>
    <row r="70" spans="1:12" x14ac:dyDescent="0.25">
      <c r="A70" t="s">
        <v>1831</v>
      </c>
      <c r="B70" t="s">
        <v>1832</v>
      </c>
      <c r="C70" t="s">
        <v>1833</v>
      </c>
      <c r="D70" t="s">
        <v>101</v>
      </c>
      <c r="E70" s="40" t="s">
        <v>9</v>
      </c>
      <c r="F70" s="13"/>
      <c r="G70" t="s">
        <v>7</v>
      </c>
      <c r="H70" t="s">
        <v>1978</v>
      </c>
      <c r="J70" t="s">
        <v>150</v>
      </c>
      <c r="K70" s="36">
        <v>0.86111111111111116</v>
      </c>
      <c r="L70" t="b">
        <f t="shared" si="1"/>
        <v>0</v>
      </c>
    </row>
    <row r="71" spans="1:12" x14ac:dyDescent="0.25">
      <c r="A71" t="s">
        <v>1933</v>
      </c>
      <c r="B71" t="s">
        <v>1934</v>
      </c>
      <c r="C71" t="s">
        <v>1935</v>
      </c>
      <c r="D71" t="s">
        <v>77</v>
      </c>
      <c r="E71" s="40" t="s">
        <v>1715</v>
      </c>
      <c r="F71" s="13"/>
      <c r="G71" t="s">
        <v>75</v>
      </c>
      <c r="H71" t="s">
        <v>2017</v>
      </c>
      <c r="I71" t="b">
        <v>1</v>
      </c>
      <c r="K71" s="36">
        <v>0</v>
      </c>
      <c r="L71" t="b">
        <f t="shared" si="1"/>
        <v>0</v>
      </c>
    </row>
    <row r="72" spans="1:12" x14ac:dyDescent="0.25">
      <c r="A72" t="s">
        <v>1828</v>
      </c>
      <c r="B72" t="s">
        <v>1829</v>
      </c>
      <c r="C72" t="s">
        <v>1830</v>
      </c>
      <c r="D72" t="s">
        <v>57</v>
      </c>
      <c r="E72" s="40" t="s">
        <v>10</v>
      </c>
      <c r="F72" s="13"/>
      <c r="G72" t="s">
        <v>67</v>
      </c>
      <c r="H72" t="s">
        <v>4</v>
      </c>
      <c r="K72" s="36">
        <v>0</v>
      </c>
      <c r="L72" t="b">
        <f t="shared" si="1"/>
        <v>1</v>
      </c>
    </row>
    <row r="73" spans="1:12" x14ac:dyDescent="0.25">
      <c r="A73" t="s">
        <v>1769</v>
      </c>
      <c r="B73" t="s">
        <v>1770</v>
      </c>
      <c r="C73" t="s">
        <v>1771</v>
      </c>
      <c r="D73" t="s">
        <v>91</v>
      </c>
      <c r="E73" s="40" t="s">
        <v>10</v>
      </c>
      <c r="F73" s="13"/>
      <c r="G73" t="s">
        <v>101</v>
      </c>
      <c r="H73" t="s">
        <v>4</v>
      </c>
      <c r="J73" t="s">
        <v>2012</v>
      </c>
      <c r="K73" s="36">
        <v>1</v>
      </c>
      <c r="L73" t="b">
        <f t="shared" si="1"/>
        <v>0</v>
      </c>
    </row>
    <row r="74" spans="1:12" x14ac:dyDescent="0.25">
      <c r="A74" t="s">
        <v>1885</v>
      </c>
      <c r="B74" t="s">
        <v>1886</v>
      </c>
      <c r="C74" t="s">
        <v>1887</v>
      </c>
      <c r="D74" t="s">
        <v>68</v>
      </c>
      <c r="E74" s="13" t="s">
        <v>11</v>
      </c>
      <c r="F74" s="13"/>
      <c r="G74" t="s">
        <v>77</v>
      </c>
      <c r="H74" t="s">
        <v>4</v>
      </c>
      <c r="J74" t="s">
        <v>1996</v>
      </c>
      <c r="K74" s="36">
        <v>0.98548247210898454</v>
      </c>
      <c r="L74" t="b">
        <f t="shared" si="1"/>
        <v>0</v>
      </c>
    </row>
    <row r="75" spans="1:12" x14ac:dyDescent="0.25">
      <c r="A75" t="s">
        <v>1831</v>
      </c>
      <c r="B75" t="s">
        <v>1863</v>
      </c>
      <c r="C75" t="s">
        <v>1864</v>
      </c>
      <c r="D75" t="s">
        <v>81</v>
      </c>
      <c r="E75" s="40" t="s">
        <v>44</v>
      </c>
      <c r="F75" s="13"/>
      <c r="G75" t="s">
        <v>57</v>
      </c>
      <c r="H75" t="s">
        <v>4</v>
      </c>
      <c r="J75" t="s">
        <v>2009</v>
      </c>
      <c r="K75" s="36">
        <v>0.86956521739130432</v>
      </c>
      <c r="L75" t="b">
        <f t="shared" si="1"/>
        <v>0</v>
      </c>
    </row>
    <row r="76" spans="1:12" x14ac:dyDescent="0.25">
      <c r="A76" t="s">
        <v>1784</v>
      </c>
      <c r="B76" t="s">
        <v>1785</v>
      </c>
      <c r="C76" t="s">
        <v>1786</v>
      </c>
      <c r="D76" t="s">
        <v>8</v>
      </c>
      <c r="E76" s="40" t="s">
        <v>44</v>
      </c>
      <c r="F76" s="13"/>
      <c r="G76" t="s">
        <v>91</v>
      </c>
      <c r="H76" t="s">
        <v>4</v>
      </c>
      <c r="K76" s="36">
        <v>0</v>
      </c>
      <c r="L76" t="b">
        <f t="shared" si="1"/>
        <v>1</v>
      </c>
    </row>
    <row r="77" spans="1:12" x14ac:dyDescent="0.25">
      <c r="A77" t="s">
        <v>1843</v>
      </c>
      <c r="B77" t="s">
        <v>1844</v>
      </c>
      <c r="C77" t="s">
        <v>1845</v>
      </c>
      <c r="D77" t="s">
        <v>58</v>
      </c>
      <c r="E77" s="13" t="s">
        <v>2007</v>
      </c>
      <c r="F77" s="13"/>
      <c r="G77" t="s">
        <v>68</v>
      </c>
      <c r="H77" t="s">
        <v>4</v>
      </c>
      <c r="J77" t="s">
        <v>68</v>
      </c>
      <c r="K77" s="36">
        <v>1</v>
      </c>
      <c r="L77" t="b">
        <f t="shared" si="1"/>
        <v>0</v>
      </c>
    </row>
    <row r="78" spans="1:12" x14ac:dyDescent="0.25">
      <c r="D78" t="s">
        <v>20</v>
      </c>
      <c r="E78" s="40" t="s">
        <v>32</v>
      </c>
      <c r="F78" s="13"/>
      <c r="G78" t="s">
        <v>81</v>
      </c>
      <c r="H78" t="s">
        <v>2019</v>
      </c>
      <c r="I78" t="b">
        <v>1</v>
      </c>
      <c r="K78" s="36">
        <v>0</v>
      </c>
      <c r="L78" t="b">
        <f t="shared" si="1"/>
        <v>0</v>
      </c>
    </row>
    <row r="79" spans="1:12" x14ac:dyDescent="0.25">
      <c r="D79" t="s">
        <v>112</v>
      </c>
      <c r="E79" s="13" t="s">
        <v>33</v>
      </c>
      <c r="F79" s="13"/>
      <c r="G79" t="s">
        <v>8</v>
      </c>
      <c r="H79" t="s">
        <v>4</v>
      </c>
      <c r="K79" s="36"/>
      <c r="L79" t="b">
        <f t="shared" si="1"/>
        <v>1</v>
      </c>
    </row>
    <row r="80" spans="1:12" x14ac:dyDescent="0.25">
      <c r="D80" t="s">
        <v>86</v>
      </c>
      <c r="E80" s="40" t="s">
        <v>33</v>
      </c>
      <c r="F80" s="13"/>
      <c r="G80" t="s">
        <v>58</v>
      </c>
      <c r="H80" t="s">
        <v>4</v>
      </c>
      <c r="K80" s="36">
        <v>0</v>
      </c>
      <c r="L80" t="b">
        <f t="shared" si="1"/>
        <v>1</v>
      </c>
    </row>
    <row r="81" spans="4:12" x14ac:dyDescent="0.25">
      <c r="D81" t="s">
        <v>59</v>
      </c>
      <c r="G81" t="s">
        <v>20</v>
      </c>
      <c r="H81" t="s">
        <v>4</v>
      </c>
      <c r="J81" t="s">
        <v>2004</v>
      </c>
      <c r="K81" s="36">
        <v>0.94285714285714284</v>
      </c>
      <c r="L81" t="b">
        <f t="shared" si="1"/>
        <v>0</v>
      </c>
    </row>
    <row r="82" spans="4:12" x14ac:dyDescent="0.25">
      <c r="D82" t="s">
        <v>69</v>
      </c>
      <c r="G82" t="s">
        <v>112</v>
      </c>
      <c r="H82" t="s">
        <v>4</v>
      </c>
      <c r="K82" s="36">
        <v>0</v>
      </c>
      <c r="L82" t="b">
        <f t="shared" si="1"/>
        <v>1</v>
      </c>
    </row>
    <row r="83" spans="4:12" x14ac:dyDescent="0.25">
      <c r="D83" t="s">
        <v>113</v>
      </c>
      <c r="G83" t="s">
        <v>86</v>
      </c>
      <c r="H83" t="s">
        <v>4</v>
      </c>
      <c r="J83" t="s">
        <v>449</v>
      </c>
      <c r="K83" s="36">
        <v>0.96674302878258611</v>
      </c>
      <c r="L83" t="b">
        <f t="shared" si="1"/>
        <v>0</v>
      </c>
    </row>
    <row r="84" spans="4:12" x14ac:dyDescent="0.25">
      <c r="D84" t="s">
        <v>60</v>
      </c>
      <c r="G84" t="s">
        <v>59</v>
      </c>
      <c r="H84" t="s">
        <v>1978</v>
      </c>
      <c r="K84" s="36">
        <v>0</v>
      </c>
      <c r="L84" t="b">
        <f t="shared" si="1"/>
        <v>1</v>
      </c>
    </row>
    <row r="85" spans="4:12" x14ac:dyDescent="0.25">
      <c r="D85" t="s">
        <v>90</v>
      </c>
      <c r="G85" t="s">
        <v>69</v>
      </c>
      <c r="H85" t="s">
        <v>4</v>
      </c>
      <c r="J85" t="s">
        <v>2000</v>
      </c>
      <c r="K85" s="36">
        <v>0.96363636363636362</v>
      </c>
      <c r="L85" t="b">
        <f t="shared" si="1"/>
        <v>0</v>
      </c>
    </row>
    <row r="86" spans="4:12" x14ac:dyDescent="0.25">
      <c r="D86" t="s">
        <v>9</v>
      </c>
      <c r="G86" t="s">
        <v>113</v>
      </c>
      <c r="H86" t="s">
        <v>4</v>
      </c>
      <c r="K86" s="36">
        <v>0</v>
      </c>
      <c r="L86" t="b">
        <f t="shared" si="1"/>
        <v>1</v>
      </c>
    </row>
    <row r="87" spans="4:12" x14ac:dyDescent="0.25">
      <c r="D87" t="s">
        <v>84</v>
      </c>
      <c r="G87" t="s">
        <v>60</v>
      </c>
      <c r="H87" t="s">
        <v>1978</v>
      </c>
      <c r="K87" s="36">
        <v>0</v>
      </c>
      <c r="L87" t="b">
        <f t="shared" si="1"/>
        <v>1</v>
      </c>
    </row>
    <row r="88" spans="4:12" x14ac:dyDescent="0.25">
      <c r="D88" t="s">
        <v>10</v>
      </c>
      <c r="G88" t="s">
        <v>90</v>
      </c>
      <c r="H88" t="s">
        <v>2020</v>
      </c>
      <c r="I88" t="b">
        <v>1</v>
      </c>
      <c r="K88" s="36">
        <v>0</v>
      </c>
      <c r="L88" t="b">
        <f t="shared" si="1"/>
        <v>0</v>
      </c>
    </row>
    <row r="89" spans="4:12" x14ac:dyDescent="0.25">
      <c r="D89" t="s">
        <v>23</v>
      </c>
      <c r="G89" t="s">
        <v>9</v>
      </c>
      <c r="H89" t="s">
        <v>1978</v>
      </c>
      <c r="J89" t="s">
        <v>9</v>
      </c>
      <c r="K89" s="36">
        <v>1</v>
      </c>
      <c r="L89" t="b">
        <f t="shared" si="1"/>
        <v>0</v>
      </c>
    </row>
    <row r="90" spans="4:12" x14ac:dyDescent="0.25">
      <c r="D90" t="s">
        <v>11</v>
      </c>
      <c r="G90" t="s">
        <v>84</v>
      </c>
      <c r="H90" t="s">
        <v>1979</v>
      </c>
      <c r="J90" t="s">
        <v>1715</v>
      </c>
      <c r="K90" s="36">
        <v>0.9285714285714286</v>
      </c>
      <c r="L90" t="b">
        <f t="shared" si="1"/>
        <v>0</v>
      </c>
    </row>
    <row r="91" spans="4:12" x14ac:dyDescent="0.25">
      <c r="D91" t="s">
        <v>32</v>
      </c>
      <c r="G91" t="s">
        <v>10</v>
      </c>
      <c r="H91" t="s">
        <v>4</v>
      </c>
      <c r="J91" t="s">
        <v>10</v>
      </c>
      <c r="K91" s="36">
        <v>1</v>
      </c>
      <c r="L91" t="b">
        <f t="shared" si="1"/>
        <v>0</v>
      </c>
    </row>
    <row r="92" spans="4:12" x14ac:dyDescent="0.25">
      <c r="D92" t="s">
        <v>12</v>
      </c>
      <c r="G92" t="s">
        <v>23</v>
      </c>
      <c r="H92" t="s">
        <v>4</v>
      </c>
      <c r="K92" s="36">
        <v>0</v>
      </c>
      <c r="L92" t="b">
        <f t="shared" si="1"/>
        <v>1</v>
      </c>
    </row>
    <row r="93" spans="4:12" x14ac:dyDescent="0.25">
      <c r="D93" t="s">
        <v>106</v>
      </c>
      <c r="G93" t="s">
        <v>11</v>
      </c>
      <c r="H93" t="s">
        <v>1983</v>
      </c>
      <c r="I93" t="b">
        <v>1</v>
      </c>
      <c r="J93" t="s">
        <v>11</v>
      </c>
      <c r="K93" s="36">
        <v>1</v>
      </c>
      <c r="L93" t="b">
        <f t="shared" si="1"/>
        <v>0</v>
      </c>
    </row>
    <row r="94" spans="4:12" x14ac:dyDescent="0.25">
      <c r="D94" t="s">
        <v>33</v>
      </c>
      <c r="G94" t="s">
        <v>32</v>
      </c>
      <c r="H94" t="s">
        <v>1978</v>
      </c>
      <c r="J94" t="s">
        <v>32</v>
      </c>
      <c r="K94" s="36">
        <v>1</v>
      </c>
      <c r="L94" t="b">
        <f t="shared" si="1"/>
        <v>0</v>
      </c>
    </row>
    <row r="95" spans="4:12" x14ac:dyDescent="0.25">
      <c r="D95" t="s">
        <v>34</v>
      </c>
      <c r="G95" t="s">
        <v>12</v>
      </c>
      <c r="H95" t="s">
        <v>1983</v>
      </c>
      <c r="I95" t="b">
        <v>1</v>
      </c>
      <c r="J95" t="s">
        <v>2007</v>
      </c>
      <c r="K95" s="36">
        <v>0.97087378640776689</v>
      </c>
      <c r="L95" t="b">
        <f t="shared" si="1"/>
        <v>0</v>
      </c>
    </row>
    <row r="96" spans="4:12" x14ac:dyDescent="0.25">
      <c r="G96" t="s">
        <v>106</v>
      </c>
      <c r="H96" t="s">
        <v>1991</v>
      </c>
      <c r="I96" t="b">
        <v>1</v>
      </c>
      <c r="K96" s="36">
        <v>0</v>
      </c>
      <c r="L96" t="b">
        <f t="shared" si="1"/>
        <v>0</v>
      </c>
    </row>
    <row r="97" spans="7:12" x14ac:dyDescent="0.25">
      <c r="G97" t="s">
        <v>33</v>
      </c>
      <c r="H97" t="s">
        <v>1978</v>
      </c>
      <c r="J97" t="s">
        <v>33</v>
      </c>
      <c r="K97" s="36">
        <v>1</v>
      </c>
      <c r="L97" t="b">
        <f t="shared" si="1"/>
        <v>0</v>
      </c>
    </row>
    <row r="98" spans="7:12" x14ac:dyDescent="0.25">
      <c r="G98" t="s">
        <v>34</v>
      </c>
      <c r="H98" t="s">
        <v>1978</v>
      </c>
      <c r="K98" s="36">
        <v>0</v>
      </c>
      <c r="L98" t="b">
        <f t="shared" si="1"/>
        <v>1</v>
      </c>
    </row>
    <row r="118" spans="5:5" x14ac:dyDescent="0.25">
      <c r="E118" s="40"/>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180"/>
  <sheetViews>
    <sheetView topLeftCell="A28" workbookViewId="0">
      <selection activeCell="E38" sqref="E38"/>
    </sheetView>
  </sheetViews>
  <sheetFormatPr defaultColWidth="9.140625" defaultRowHeight="12.75" x14ac:dyDescent="0.2"/>
  <cols>
    <col min="1" max="1" width="11.85546875" style="19" customWidth="1"/>
    <col min="2" max="2" width="33.5703125" style="19" customWidth="1"/>
    <col min="3" max="3" width="21.42578125" style="19" bestFit="1" customWidth="1"/>
    <col min="4" max="4" width="20.7109375" style="20" bestFit="1" customWidth="1"/>
    <col min="5" max="5" width="57" style="21" bestFit="1" customWidth="1"/>
    <col min="6" max="7" width="9.140625" style="19"/>
    <col min="8" max="8" width="21.5703125" style="19" customWidth="1"/>
    <col min="9" max="16384" width="9.140625" style="19"/>
  </cols>
  <sheetData>
    <row r="1" spans="1:8" s="12" customFormat="1" ht="15" x14ac:dyDescent="0.25">
      <c r="A1" s="12" t="s">
        <v>15</v>
      </c>
      <c r="B1" s="12" t="s">
        <v>16</v>
      </c>
      <c r="C1" s="12" t="s">
        <v>589</v>
      </c>
      <c r="D1" s="12" t="s">
        <v>590</v>
      </c>
      <c r="E1" s="12" t="s">
        <v>591</v>
      </c>
      <c r="H1" s="12" t="s">
        <v>1757</v>
      </c>
    </row>
    <row r="2" spans="1:8" ht="51" x14ac:dyDescent="0.2">
      <c r="A2" s="22" t="str">
        <f>VLOOKUP(B2, Workbook1!B2:H137, 7, FALSE)</f>
        <v>CIG</v>
      </c>
      <c r="B2" s="22" t="s">
        <v>2177</v>
      </c>
      <c r="C2" s="19" t="str">
        <f>VLOOKUP(B2,Workbook1!B2:G137, 5, FALSE)</f>
        <v>10000</v>
      </c>
      <c r="D2" s="21">
        <f>VLOOKUP(B2,Workbook1!$B$2:$G$137, 6, FALSE)</f>
        <v>2016</v>
      </c>
      <c r="E2" s="21" t="str">
        <f>IFERROR(VLOOKUP(B2,'RE2'!A2:D776,4, FALSE),"")</f>
        <v>5701 Shingle Creek Parkway, Ste 630, Brooklyn Center, MN</v>
      </c>
      <c r="H2" s="30" t="s">
        <v>1758</v>
      </c>
    </row>
    <row r="3" spans="1:8" ht="25.5" x14ac:dyDescent="0.2">
      <c r="A3" s="22" t="str">
        <f>VLOOKUP(B3, Workbook1!B3:H138, 7, FALSE)</f>
        <v>CIG</v>
      </c>
      <c r="B3" s="22" t="s">
        <v>89</v>
      </c>
      <c r="C3" s="19" t="str">
        <f>VLOOKUP(B3,Workbook1!B3:G138, 5, FALSE)</f>
        <v>9950</v>
      </c>
      <c r="D3" s="21">
        <f>VLOOKUP(B3,Workbook1!$B$2:$G$137, 6, FALSE)</f>
        <v>2016</v>
      </c>
      <c r="E3" s="21" t="str">
        <f>IFERROR(VLOOKUP(B3,'RE2'!A3:D777,4, FALSE),"")</f>
        <v>1132 28th Ave S Suite 104, Moorhead, MN</v>
      </c>
    </row>
    <row r="4" spans="1:8" x14ac:dyDescent="0.2">
      <c r="A4" s="22" t="str">
        <f>VLOOKUP(B4, Workbook1!B4:H139, 7, FALSE)</f>
        <v>CIG</v>
      </c>
      <c r="B4" s="22" t="s">
        <v>107</v>
      </c>
      <c r="C4" s="19" t="str">
        <f>VLOOKUP(B4,Workbook1!B4:G139, 5, FALSE)</f>
        <v>10000</v>
      </c>
      <c r="D4" s="21">
        <f>VLOOKUP(B4,Workbook1!$B$2:$G$137, 6, FALSE)</f>
        <v>2015</v>
      </c>
      <c r="E4" s="21" t="str">
        <f>IFERROR(VLOOKUP(B4,'RE2'!A4:D778,4, FALSE),"")</f>
        <v>2104 Stevens Ave S, Ste 215, Minneapolis, MN</v>
      </c>
    </row>
    <row r="5" spans="1:8" x14ac:dyDescent="0.2">
      <c r="A5" s="22" t="str">
        <f>VLOOKUP(B5, Workbook1!B5:H140, 7, FALSE)</f>
        <v>CIG</v>
      </c>
      <c r="B5" s="22" t="s">
        <v>36</v>
      </c>
      <c r="C5" s="19" t="str">
        <f>VLOOKUP(B5,Workbook1!B5:G140, 5, FALSE)</f>
        <v>10000</v>
      </c>
      <c r="D5" s="21">
        <f>VLOOKUP(B5,Workbook1!$B$2:$G$137, 6, FALSE)</f>
        <v>2016</v>
      </c>
      <c r="E5" s="21" t="str">
        <f>IFERROR(VLOOKUP(B5,'RE2'!A5:D779,4, FALSE),"")</f>
        <v>2380 Wycliff St Ste 200, St. Paul, MN</v>
      </c>
    </row>
    <row r="6" spans="1:8" x14ac:dyDescent="0.2">
      <c r="A6" s="22" t="str">
        <f>VLOOKUP(B6, Workbook1!B6:H141, 7, FALSE)</f>
        <v>CIG</v>
      </c>
      <c r="B6" s="22" t="s">
        <v>85</v>
      </c>
      <c r="C6" s="19" t="str">
        <f>VLOOKUP(B6,Workbook1!B6:G141, 5, FALSE)</f>
        <v>10000</v>
      </c>
      <c r="D6" s="21">
        <f>VLOOKUP(B6,Workbook1!$B$2:$G$137, 6, FALSE)</f>
        <v>2016</v>
      </c>
      <c r="E6" s="21" t="str">
        <f>IFERROR(VLOOKUP(B6,'RE2'!A6:D780,4, FALSE),"")</f>
        <v>2801 21st Ave S Ste 100, Minneapolis, MN</v>
      </c>
    </row>
    <row r="7" spans="1:8" x14ac:dyDescent="0.2">
      <c r="A7" s="22" t="str">
        <f>VLOOKUP(B7, Workbook1!B7:H142, 7, FALSE)</f>
        <v>CIG</v>
      </c>
      <c r="B7" s="22" t="s">
        <v>3</v>
      </c>
      <c r="C7" s="19" t="str">
        <f>VLOOKUP(B7,Workbook1!B7:G142, 5, FALSE)</f>
        <v>10000</v>
      </c>
      <c r="D7" s="21">
        <f>VLOOKUP(B7,Workbook1!$B$2:$G$137, 6, FALSE)</f>
        <v>2017</v>
      </c>
      <c r="E7" s="21" t="str">
        <f>IFERROR(VLOOKUP(B7,'RE2'!A7:D781,4, FALSE),"")</f>
        <v>579 Wells St., St. Paul, MN</v>
      </c>
    </row>
    <row r="8" spans="1:8" ht="25.5" x14ac:dyDescent="0.2">
      <c r="A8" s="22" t="str">
        <f>VLOOKUP(B8, Workbook1!B8:H143, 7, FALSE)</f>
        <v>CIG</v>
      </c>
      <c r="B8" s="22" t="s">
        <v>87</v>
      </c>
      <c r="C8" s="19" t="str">
        <f>VLOOKUP(B8,Workbook1!B8:G143, 5, FALSE)</f>
        <v>10000</v>
      </c>
      <c r="D8" s="21">
        <f>VLOOKUP(B8,Workbook1!$B$2:$G$137, 6, FALSE)</f>
        <v>2016</v>
      </c>
      <c r="E8" s="21" t="str">
        <f>IFERROR(VLOOKUP(B8,'RE2'!A8:D782,4, FALSE),"")</f>
        <v>1113 East Franklin Avenue, Suite 103, Minneapolis, MN</v>
      </c>
    </row>
    <row r="9" spans="1:8" x14ac:dyDescent="0.2">
      <c r="A9" s="22" t="str">
        <f>VLOOKUP(B9, Workbook1!B8:H144, 7, FALSE)</f>
        <v>CIG</v>
      </c>
      <c r="B9" s="22" t="s">
        <v>70</v>
      </c>
      <c r="C9" s="19" t="str">
        <f>VLOOKUP(B9,Workbook1!B8:G144, 5, FALSE)</f>
        <v>10000</v>
      </c>
      <c r="D9" s="21">
        <f>VLOOKUP(B9,Workbook1!$B$2:$G$137, 6, FALSE)</f>
        <v>2016</v>
      </c>
      <c r="E9" s="28" t="str">
        <f>IFERROR(VLOOKUP(B9,'RE2'!A9:D783,4, FALSE),"")</f>
        <v>P. O. Box 2427 , Minneapolis, MN</v>
      </c>
    </row>
    <row r="10" spans="1:8" x14ac:dyDescent="0.2">
      <c r="A10" s="22" t="str">
        <f>VLOOKUP(B10, Workbook1!B9:H145, 7, FALSE)</f>
        <v>CIG; CIG</v>
      </c>
      <c r="B10" s="22" t="s">
        <v>37</v>
      </c>
      <c r="C10" s="19" t="str">
        <f>VLOOKUP(B10,Workbook1!B9:G145, 5, FALSE)</f>
        <v>10000; 10000</v>
      </c>
      <c r="D10" s="21" t="str">
        <f>VLOOKUP(B10,Workbook1!$B$2:$G$137, 6, FALSE)</f>
        <v>2016; 2015</v>
      </c>
      <c r="E10" s="21" t="str">
        <f>IFERROR(VLOOKUP(B10,'RE2'!A10:D784,4, FALSE),"")</f>
        <v>1200 West Broadway Avenue #180, Minneapolis, MN</v>
      </c>
    </row>
    <row r="11" spans="1:8" x14ac:dyDescent="0.2">
      <c r="A11" s="22" t="str">
        <f>VLOOKUP(B11, Workbook1!B10:H146, 7, FALSE)</f>
        <v>GP; GP; CIG</v>
      </c>
      <c r="B11" s="22" t="s">
        <v>25</v>
      </c>
      <c r="C11" s="19" t="str">
        <f>VLOOKUP(B11,Workbook1!B10:G146, 5, FALSE)</f>
        <v>250; 10000; 10000</v>
      </c>
      <c r="D11" s="21" t="str">
        <f>VLOOKUP(B11,Workbook1!$B$2:$G$137, 6, FALSE)</f>
        <v>2017; 2016; 2016</v>
      </c>
      <c r="E11" s="21" t="str">
        <f>IFERROR(VLOOKUP(B11,'RE2'!A11:D785,4, FALSE),"")</f>
        <v>2214 Larry Ho Drive, Saint Paul, MN</v>
      </c>
    </row>
    <row r="12" spans="1:8" ht="25.5" x14ac:dyDescent="0.2">
      <c r="A12" s="22" t="str">
        <f>VLOOKUP(B12, Workbook1!B11:H147, 7, FALSE)</f>
        <v>CIG</v>
      </c>
      <c r="B12" s="22" t="s">
        <v>83</v>
      </c>
      <c r="C12" s="19" t="str">
        <f>VLOOKUP(B12,Workbook1!B11:G147, 5, FALSE)</f>
        <v>10000</v>
      </c>
      <c r="D12" s="21">
        <f>VLOOKUP(B12,Workbook1!$B$2:$G$137, 6, FALSE)</f>
        <v>2016</v>
      </c>
      <c r="E12" s="21" t="str">
        <f>IFERROR(VLOOKUP(B12,'RE2'!A12:D786,4, FALSE),"")</f>
        <v>1821 University Avenue West, S-292, Saint Paul, MN</v>
      </c>
    </row>
    <row r="13" spans="1:8" x14ac:dyDescent="0.2">
      <c r="A13" s="22" t="str">
        <f>VLOOKUP(B13, Workbook1!B12:H148, 7, FALSE)</f>
        <v>CIG</v>
      </c>
      <c r="B13" s="22" t="s">
        <v>47</v>
      </c>
      <c r="C13" s="19" t="str">
        <f>VLOOKUP(B13,Workbook1!B12:G148, 5, FALSE)</f>
        <v>10000</v>
      </c>
      <c r="D13" s="21">
        <f>VLOOKUP(B13,Workbook1!$B$2:$G$137, 6, FALSE)</f>
        <v>2016</v>
      </c>
      <c r="E13" s="21" t="str">
        <f>IFERROR(VLOOKUP(B13,'RE2'!A13:D787,4, FALSE),"")</f>
        <v>2380 Wycliff Street, #102, Saint Paul, MN</v>
      </c>
    </row>
    <row r="14" spans="1:8" x14ac:dyDescent="0.2">
      <c r="A14" s="22" t="str">
        <f>VLOOKUP(B14, Workbook1!B13:H149, 7, FALSE)</f>
        <v>CIG</v>
      </c>
      <c r="B14" s="22" t="s">
        <v>48</v>
      </c>
      <c r="C14" s="19" t="str">
        <f>VLOOKUP(B14,Workbook1!B13:G149, 5, FALSE)</f>
        <v>10000</v>
      </c>
      <c r="D14" s="21">
        <f>VLOOKUP(B14,Workbook1!$B$2:$G$137, 6, FALSE)</f>
        <v>2016</v>
      </c>
      <c r="E14" s="21" t="str">
        <f>IFERROR(VLOOKUP(B14,'RE2'!A14:D788,4, FALSE),"")</f>
        <v>3216 East 29th Street, Minneapolis, MN</v>
      </c>
    </row>
    <row r="15" spans="1:8" x14ac:dyDescent="0.2">
      <c r="A15" s="22" t="str">
        <f>VLOOKUP(B15, Workbook1!B14:H150, 7, FALSE)</f>
        <v>CIG</v>
      </c>
      <c r="B15" s="22" t="s">
        <v>62</v>
      </c>
      <c r="C15" s="19" t="str">
        <f>VLOOKUP(B15,Workbook1!B14:G150, 5, FALSE)</f>
        <v>9260</v>
      </c>
      <c r="D15" s="21">
        <f>VLOOKUP(B15,Workbook1!$B$2:$G$137, 6, FALSE)</f>
        <v>2016</v>
      </c>
      <c r="E15" s="28" t="s">
        <v>1756</v>
      </c>
    </row>
    <row r="16" spans="1:8" x14ac:dyDescent="0.2">
      <c r="A16" s="22" t="str">
        <f>VLOOKUP(B16, Workbook1!B15:H151, 7, FALSE)</f>
        <v>CIG</v>
      </c>
      <c r="B16" s="22" t="s">
        <v>88</v>
      </c>
      <c r="C16" s="19" t="str">
        <f>VLOOKUP(B16,Workbook1!B15:G151, 5, FALSE)</f>
        <v>10000</v>
      </c>
      <c r="D16" s="21">
        <f>VLOOKUP(B16,Workbook1!$B$2:$G$137, 6, FALSE)</f>
        <v>2016</v>
      </c>
      <c r="E16" s="21" t="str">
        <f>IFERROR(VLOOKUP(B16,'RE2'!A16:D790,4, FALSE),"")</f>
        <v>1113 East Franklin Avenue, Minneapolis, MN</v>
      </c>
    </row>
    <row r="17" spans="1:5" ht="25.5" x14ac:dyDescent="0.2">
      <c r="A17" s="22" t="str">
        <f>VLOOKUP(B17, Workbook1!B16:H152, 7, FALSE)</f>
        <v>EFBL; GP; GP; SCF</v>
      </c>
      <c r="B17" s="22" t="s">
        <v>46</v>
      </c>
      <c r="C17" s="19" t="str">
        <f>VLOOKUP(B17,Workbook1!B16:G152, 5, FALSE)</f>
        <v>42963; 10000; 250; 10000</v>
      </c>
      <c r="D17" s="21" t="str">
        <f>VLOOKUP(B17,Workbook1!$B$2:$G$137, 6, FALSE)</f>
        <v>2016; 2016; 2015; 2015</v>
      </c>
      <c r="E17" s="21" t="str">
        <f>IFERROR(VLOOKUP(B17,'RE2'!A17:D791,4, FALSE),"")</f>
        <v>3032 10th Ave. South, Minneapolis, MN</v>
      </c>
    </row>
    <row r="18" spans="1:5" ht="25.5" x14ac:dyDescent="0.2">
      <c r="A18" s="22" t="str">
        <f>VLOOKUP(B18, Workbook1!B17:H153, 7, FALSE)</f>
        <v>CIG; CIG</v>
      </c>
      <c r="B18" s="22" t="s">
        <v>38</v>
      </c>
      <c r="C18" s="19" t="str">
        <f>VLOOKUP(B18,Workbook1!B17:G153, 5, FALSE)</f>
        <v>10000; 7500</v>
      </c>
      <c r="D18" s="21" t="str">
        <f>VLOOKUP(B18,Workbook1!$B$2:$G$137, 6, FALSE)</f>
        <v>2016; 2015</v>
      </c>
      <c r="E18" s="21" t="str">
        <f>IFERROR(VLOOKUP(B18,'RE2'!A18:D792,4, FALSE),"")</f>
        <v>2511 East Franklin Avenue, Suite 100, Minneapolis, MN</v>
      </c>
    </row>
    <row r="19" spans="1:5" ht="25.5" x14ac:dyDescent="0.2">
      <c r="A19" s="22" t="str">
        <f>VLOOKUP(B19, Workbook1!B18:H154, 7, FALSE)</f>
        <v>CIG</v>
      </c>
      <c r="B19" s="22" t="s">
        <v>92</v>
      </c>
      <c r="C19" s="19" t="str">
        <f>VLOOKUP(B19,Workbook1!B18:G154, 5, FALSE)</f>
        <v>10000</v>
      </c>
      <c r="D19" s="21">
        <f>VLOOKUP(B19,Workbook1!$B$2:$G$137, 6, FALSE)</f>
        <v>2015</v>
      </c>
      <c r="E19" s="21" t="str">
        <f>IFERROR(VLOOKUP(B19,'RE2'!A19:D793,4, FALSE),"")</f>
        <v>2021 East Hennepin Avenue, Ste 155, Minneapolis, MN</v>
      </c>
    </row>
    <row r="20" spans="1:5" x14ac:dyDescent="0.2">
      <c r="A20" s="22" t="str">
        <f>VLOOKUP(B20, Workbook1!B19:H155, 7, FALSE)</f>
        <v>CIG</v>
      </c>
      <c r="B20" s="22" t="s">
        <v>93</v>
      </c>
      <c r="C20" s="19" t="str">
        <f>VLOOKUP(B20,Workbook1!B19:G155, 5, FALSE)</f>
        <v>10000</v>
      </c>
      <c r="D20" s="21">
        <f>VLOOKUP(B20,Workbook1!$B$2:$G$137, 6, FALSE)</f>
        <v>2015</v>
      </c>
      <c r="E20" s="21" t="str">
        <f>IFERROR(VLOOKUP(B20,'RE2'!A20:D794,4, FALSE),"")</f>
        <v>216 North Oak Avenue, Owatonna, MN</v>
      </c>
    </row>
    <row r="21" spans="1:5" ht="38.25" x14ac:dyDescent="0.2">
      <c r="A21" s="22" t="str">
        <f>VLOOKUP(B21, Workbook1!B20:H156, 7, FALSE)</f>
        <v>CIG; GP; GP; CIG; SCF</v>
      </c>
      <c r="B21" s="22" t="s">
        <v>39</v>
      </c>
      <c r="C21" s="19" t="str">
        <f>VLOOKUP(B21,Workbook1!B20:G156, 5, FALSE)</f>
        <v>10000; 10000; 10000; 10000; 10000</v>
      </c>
      <c r="D21" s="21" t="str">
        <f>VLOOKUP(B21,Workbook1!$B$2:$G$137, 6, FALSE)</f>
        <v>2016; 2016; 2016; 2015; 2015</v>
      </c>
      <c r="E21" s="21" t="str">
        <f>IFERROR(VLOOKUP(B21,'RE2'!A21:D795,4, FALSE),"")</f>
        <v>3715 Chicago Avenue, Minneapolis, MN</v>
      </c>
    </row>
    <row r="22" spans="1:5" x14ac:dyDescent="0.2">
      <c r="A22" s="22" t="str">
        <f>VLOOKUP(B22, Workbook1!B21:H157, 7, FALSE)</f>
        <v>CIG</v>
      </c>
      <c r="B22" s="22" t="s">
        <v>108</v>
      </c>
      <c r="C22" s="19" t="str">
        <f>VLOOKUP(B22,Workbook1!B21:G157, 5, FALSE)</f>
        <v>10000</v>
      </c>
      <c r="D22" s="21">
        <f>VLOOKUP(B22,Workbook1!$B$2:$G$137, 6, FALSE)</f>
        <v>2015</v>
      </c>
      <c r="E22" s="21" t="str">
        <f>IFERROR(VLOOKUP(B22,'RE2'!A22:D796,4, FALSE),"")</f>
        <v>102 West 2nd Street, Duluth, MN</v>
      </c>
    </row>
    <row r="23" spans="1:5" x14ac:dyDescent="0.2">
      <c r="A23" s="22" t="str">
        <f>VLOOKUP(B23, Workbook1!B21:H158, 7, FALSE)</f>
        <v>CIG</v>
      </c>
      <c r="B23" s="22" t="s">
        <v>109</v>
      </c>
      <c r="C23" s="19" t="str">
        <f>VLOOKUP(B23,Workbook1!B21:G158, 5, FALSE)</f>
        <v>10000</v>
      </c>
      <c r="D23" s="21">
        <f>VLOOKUP(B23,Workbook1!$B$2:$G$137, 6, FALSE)</f>
        <v>2015</v>
      </c>
      <c r="E23" s="21" t="str">
        <f>IFERROR(VLOOKUP(B23,'RE2'!A23:D797,4, FALSE),"")</f>
        <v>275 4th Street E, Ste 482, St. Paul, MN</v>
      </c>
    </row>
    <row r="24" spans="1:5" x14ac:dyDescent="0.2">
      <c r="A24" s="22" t="str">
        <f>VLOOKUP(B24, Workbook1!B22:H159, 7, FALSE)</f>
        <v>CIG</v>
      </c>
      <c r="B24" s="22" t="s">
        <v>49</v>
      </c>
      <c r="C24" s="19" t="str">
        <f>VLOOKUP(B24,Workbook1!B22:G159, 5, FALSE)</f>
        <v>10000</v>
      </c>
      <c r="D24" s="21">
        <f>VLOOKUP(B24,Workbook1!$B$2:$G$137, 6, FALSE)</f>
        <v>2016</v>
      </c>
      <c r="E24" s="21" t="str">
        <f>IFERROR(VLOOKUP(B24,'RE2'!A24:D798,4, FALSE),"")</f>
        <v>501 N Dale St, Ste 203, St. Paul, MN</v>
      </c>
    </row>
    <row r="25" spans="1:5" x14ac:dyDescent="0.2">
      <c r="A25" s="22" t="str">
        <f>VLOOKUP(B25, Workbook1!B22:H160, 7, FALSE)</f>
        <v>CIG</v>
      </c>
      <c r="B25" s="22" t="s">
        <v>94</v>
      </c>
      <c r="C25" s="19" t="str">
        <f>VLOOKUP(B25,Workbook1!B22:G160, 5, FALSE)</f>
        <v>10000</v>
      </c>
      <c r="D25" s="21">
        <f>VLOOKUP(B25,Workbook1!$B$2:$G$137, 6, FALSE)</f>
        <v>2015</v>
      </c>
      <c r="E25" s="21" t="str">
        <f>IFERROR(VLOOKUP(B25,'RE2'!A25:D799,4, FALSE),"")</f>
        <v>2101 Hennepin Ave S, Minneapolis, MN</v>
      </c>
    </row>
    <row r="26" spans="1:5" ht="25.5" x14ac:dyDescent="0.2">
      <c r="A26" s="22" t="str">
        <f>VLOOKUP(B26, Workbook1!B23:H161, 7, FALSE)</f>
        <v>CIG</v>
      </c>
      <c r="B26" s="22" t="s">
        <v>218</v>
      </c>
      <c r="C26" s="19" t="str">
        <f>VLOOKUP(B26,Workbook1!B23:G161, 5, FALSE)</f>
        <v>10000</v>
      </c>
      <c r="D26" s="21">
        <f>VLOOKUP(B26,Workbook1!$B$2:$G$137, 6, FALSE)</f>
        <v>2016</v>
      </c>
      <c r="E26" s="21" t="str">
        <f>IFERROR(VLOOKUP(B26,'RE2'!A26:D800,4, FALSE),"")</f>
        <v>145 University Avenue West, Suite 145, Saint Paul, MN</v>
      </c>
    </row>
    <row r="27" spans="1:5" x14ac:dyDescent="0.2">
      <c r="A27" s="22" t="str">
        <f>VLOOKUP(B27, Workbook1!B24:H162, 7, FALSE)</f>
        <v>CIG</v>
      </c>
      <c r="B27" s="22" t="s">
        <v>110</v>
      </c>
      <c r="C27" s="19" t="str">
        <f>VLOOKUP(B27,Workbook1!B25:G163, 5, FALSE)</f>
        <v>4500</v>
      </c>
      <c r="D27" s="21">
        <f>VLOOKUP(B27,Workbook1!$B$2:$G$137, 6, FALSE)</f>
        <v>2015</v>
      </c>
      <c r="E27" s="21" t="str">
        <f>IFERROR(VLOOKUP(B27,'RE2'!A28:D802,4, FALSE),"")</f>
        <v>24 N. 21st Ave W, Duluth, MN</v>
      </c>
    </row>
    <row r="28" spans="1:5" x14ac:dyDescent="0.2">
      <c r="A28" s="22" t="str">
        <f>VLOOKUP(B28, Workbook1!B25:H163, 7, FALSE)</f>
        <v>CIG</v>
      </c>
      <c r="B28" s="22" t="s">
        <v>78</v>
      </c>
      <c r="C28" s="19" t="str">
        <f>VLOOKUP(B28,Workbook1!B25:G164, 5, FALSE)</f>
        <v>10000</v>
      </c>
      <c r="D28" s="21">
        <f>VLOOKUP(B28,Workbook1!$B$2:$G$137, 6, FALSE)</f>
        <v>2016</v>
      </c>
      <c r="E28" s="21" t="str">
        <f>IFERROR(VLOOKUP(B28,'RE2'!A29:D803,4, FALSE),"")</f>
        <v>712 University Ave W, St. Paul, MN</v>
      </c>
    </row>
    <row r="29" spans="1:5" ht="25.5" x14ac:dyDescent="0.2">
      <c r="A29" s="22" t="str">
        <f>VLOOKUP(B29, Workbook1!B25:H164, 7, FALSE)</f>
        <v>FSC; FSC; CIG</v>
      </c>
      <c r="B29" s="22" t="s">
        <v>42</v>
      </c>
      <c r="C29" s="19" t="str">
        <f>VLOOKUP(B29,Workbook1!B25:G165, 5, FALSE)</f>
        <v>10000; 10000; 10000</v>
      </c>
      <c r="D29" s="21" t="str">
        <f>VLOOKUP(B29,Workbook1!$B$2:$G$137, 6, FALSE)</f>
        <v>2016; 2016; 2015</v>
      </c>
      <c r="E29" s="21" t="str">
        <f>IFERROR(VLOOKUP(B29,'RE2'!A30:D804,4, FALSE),"")</f>
        <v>230 West 2nd Street, P.O. Box 2, Morton, MN</v>
      </c>
    </row>
    <row r="30" spans="1:5" x14ac:dyDescent="0.2">
      <c r="A30" s="22" t="str">
        <f>VLOOKUP(B30, Workbook1!B25:H165, 7, FALSE)</f>
        <v>CIG</v>
      </c>
      <c r="B30" s="22" t="s">
        <v>40</v>
      </c>
      <c r="C30" s="19" t="str">
        <f>VLOOKUP(B30,Workbook1!B26:G166, 5, FALSE)</f>
        <v>10000</v>
      </c>
      <c r="D30" s="21">
        <f>VLOOKUP(B30,Workbook1!$B$2:$G$137, 6, FALSE)</f>
        <v>2016</v>
      </c>
      <c r="E30" s="21" t="str">
        <f>IFERROR(VLOOKUP(B30,'RE2'!A31:D805,4, FALSE),"")</f>
        <v>PO Box 14616, Minneapolis, MN</v>
      </c>
    </row>
    <row r="31" spans="1:5" ht="25.5" x14ac:dyDescent="0.2">
      <c r="A31" s="22" t="str">
        <f>VLOOKUP(B31, Workbook1!B26:H166, 7, FALSE)</f>
        <v>CIG</v>
      </c>
      <c r="B31" s="22" t="s">
        <v>96</v>
      </c>
      <c r="C31" s="19" t="str">
        <f>VLOOKUP(B31,Workbook1!B26:G167, 5, FALSE)</f>
        <v>10000</v>
      </c>
      <c r="D31" s="21">
        <f>VLOOKUP(B31,Workbook1!$B$2:$G$137, 6, FALSE)</f>
        <v>2015</v>
      </c>
      <c r="E31" s="21" t="str">
        <f>IFERROR(VLOOKUP(B31,'RE2'!A32:D806,4, FALSE),"")</f>
        <v>25 6th Street W, St. Paul, MN</v>
      </c>
    </row>
    <row r="32" spans="1:5" ht="25.5" x14ac:dyDescent="0.2">
      <c r="A32" s="22" t="str">
        <f>VLOOKUP(B32, Workbook1!B26:H167, 7, FALSE)</f>
        <v>CIG; FSC; GP</v>
      </c>
      <c r="B32" s="22" t="s">
        <v>21</v>
      </c>
      <c r="C32" s="19" t="str">
        <f>VLOOKUP(B32,Workbook1!B26:G168, 5, FALSE)</f>
        <v>10000; 10000; 10000</v>
      </c>
      <c r="D32" s="21" t="str">
        <f>VLOOKUP(B32,Workbook1!$B$2:$G$137, 6, FALSE)</f>
        <v>2017; 2016; 2016</v>
      </c>
      <c r="E32" s="21" t="str">
        <f>IFERROR(VLOOKUP(B32,'RE2'!A33:D807,4, FALSE),"")</f>
        <v>1308 Franklin Ave Suite 203, Minneapolis, MN</v>
      </c>
    </row>
    <row r="33" spans="1:5" ht="25.5" x14ac:dyDescent="0.2">
      <c r="A33" s="22" t="str">
        <f>VLOOKUP(B33, Workbook1!B26:H168, 7, FALSE)</f>
        <v>CIG</v>
      </c>
      <c r="B33" s="22" t="s">
        <v>5</v>
      </c>
      <c r="C33" s="19" t="str">
        <f>VLOOKUP(B33,Workbook1!B27:G169, 5, FALSE)</f>
        <v>10000</v>
      </c>
      <c r="D33" s="21">
        <f>VLOOKUP(B33,Workbook1!$B$2:$G$137, 6, FALSE)</f>
        <v>2017</v>
      </c>
      <c r="E33" s="21" t="str">
        <f>IFERROR(VLOOKUP(B33,'RE2'!A34:D808,4, FALSE),"")</f>
        <v>965 Payne, St. Paul, MN</v>
      </c>
    </row>
    <row r="34" spans="1:5" ht="25.5" x14ac:dyDescent="0.2">
      <c r="A34" s="22" t="str">
        <f>VLOOKUP(B34, Workbook1!B27:H169, 7, FALSE)</f>
        <v>CIG</v>
      </c>
      <c r="B34" s="22" t="s">
        <v>97</v>
      </c>
      <c r="C34" s="19" t="str">
        <f>VLOOKUP(B34,Workbook1!B28:G170, 5, FALSE)</f>
        <v>10000</v>
      </c>
      <c r="D34" s="21">
        <f>VLOOKUP(B34,Workbook1!$B$2:$G$137, 6, FALSE)</f>
        <v>2015</v>
      </c>
      <c r="E34" s="28" t="s">
        <v>1759</v>
      </c>
    </row>
    <row r="35" spans="1:5" x14ac:dyDescent="0.2">
      <c r="A35" s="22" t="str">
        <f>VLOOKUP(B35, Workbook1!B28:H170, 7, FALSE)</f>
        <v>CIG</v>
      </c>
      <c r="B35" s="22" t="s">
        <v>63</v>
      </c>
      <c r="C35" s="19" t="str">
        <f>VLOOKUP(B35,Workbook1!B29:G171, 5, FALSE)</f>
        <v>7000</v>
      </c>
      <c r="D35" s="21">
        <f>VLOOKUP(B35,Workbook1!$B$2:$G$137, 6, FALSE)</f>
        <v>2016</v>
      </c>
      <c r="E35" s="21" t="str">
        <f>IFERROR(VLOOKUP(B35,'RE2'!A36:D810,4, FALSE),"")</f>
        <v>1619 Dayton Avenue, Suite 205, Saint Paul, MN</v>
      </c>
    </row>
    <row r="36" spans="1:5" ht="25.5" x14ac:dyDescent="0.2">
      <c r="A36" s="22" t="str">
        <f>VLOOKUP(B36, Workbook1!B29:H171, 7, FALSE)</f>
        <v>GP; GP; GP; SCF</v>
      </c>
      <c r="B36" s="22" t="s">
        <v>26</v>
      </c>
      <c r="C36" s="19" t="str">
        <f>VLOOKUP(B36,Workbook1!B29:G172, 5, FALSE)</f>
        <v>250; 10000; 10000; 10000</v>
      </c>
      <c r="D36" s="21" t="str">
        <f>VLOOKUP(B36,Workbook1!$B$2:$G$137, 6, FALSE)</f>
        <v>2017; 2016; 2016; 2015</v>
      </c>
      <c r="E36" s="21" t="str">
        <f>IFERROR(VLOOKUP(B36,'RE2'!A37:D811,4, FALSE),"")</f>
        <v>2719 W Division St Ste 122, St Cloud, MN</v>
      </c>
    </row>
    <row r="37" spans="1:5" ht="25.5" x14ac:dyDescent="0.2">
      <c r="A37" s="22" t="str">
        <f>VLOOKUP(B37, Workbook1!B29:H172, 7, FALSE)</f>
        <v>G</v>
      </c>
      <c r="B37" s="22" t="s">
        <v>114</v>
      </c>
      <c r="C37" s="19" t="str">
        <f>VLOOKUP(B37,Workbook1!B30:G173, 5, FALSE)</f>
        <v>15000</v>
      </c>
      <c r="D37" s="21">
        <f>VLOOKUP(B37,Workbook1!$B$2:$G$137, 6, FALSE)</f>
        <v>2015</v>
      </c>
      <c r="E37" s="21" t="str">
        <f>IFERROR(VLOOKUP(B37,'RE2'!A38:D812,4, FALSE),"")</f>
        <v>University of California, Berkeley 460 Stephens Hall, Berkeley, CA</v>
      </c>
    </row>
    <row r="38" spans="1:5" ht="25.5" x14ac:dyDescent="0.2">
      <c r="A38" s="22" t="str">
        <f>VLOOKUP(B38, Workbook1!B30:H173, 7, FALSE)</f>
        <v>CIG</v>
      </c>
      <c r="B38" s="22" t="s">
        <v>50</v>
      </c>
      <c r="C38" s="19" t="str">
        <f>VLOOKUP(B38,Workbook1!B30:G174, 5, FALSE)</f>
        <v>10000</v>
      </c>
      <c r="D38" s="21">
        <f>VLOOKUP(B38,Workbook1!$B$2:$G$137, 6, FALSE)</f>
        <v>2016</v>
      </c>
      <c r="E38" s="21" t="str">
        <f>IFERROR(VLOOKUP(B38,'RE2'!A39:D813,4, FALSE),"")</f>
        <v>270 North Kent Street, Saint Paul, MN</v>
      </c>
    </row>
    <row r="39" spans="1:5" x14ac:dyDescent="0.2">
      <c r="A39" s="22" t="str">
        <f>VLOOKUP(B39, Workbook1!B30:H174, 7, FALSE)</f>
        <v>GP; CIG</v>
      </c>
      <c r="B39" s="22" t="s">
        <v>74</v>
      </c>
      <c r="C39" s="19" t="str">
        <f>VLOOKUP(B39,Workbook1!B31:G175, 5, FALSE)</f>
        <v>10000; 10000</v>
      </c>
      <c r="D39" s="21" t="str">
        <f>VLOOKUP(B39,Workbook1!$B$2:$G$137, 6, FALSE)</f>
        <v>2016; 2015</v>
      </c>
      <c r="E39" s="21" t="str">
        <f>IFERROR(VLOOKUP(B39,'RE2'!A40:D814,4, FALSE),"")</f>
        <v>503 Irving Ave N Ste 100, Minneapolis, MN</v>
      </c>
    </row>
    <row r="40" spans="1:5" ht="25.5" x14ac:dyDescent="0.2">
      <c r="A40" s="22" t="str">
        <f>VLOOKUP(B40, Workbook1!B31:H175, 7, FALSE)</f>
        <v>CIG</v>
      </c>
      <c r="B40" s="22" t="s">
        <v>98</v>
      </c>
      <c r="C40" s="19" t="str">
        <f>VLOOKUP(B40,Workbook1!B31:G176, 5, FALSE)</f>
        <v>10000</v>
      </c>
      <c r="D40" s="21">
        <f>VLOOKUP(B40,Workbook1!$B$2:$G$137, 6, FALSE)</f>
        <v>2015</v>
      </c>
      <c r="E40" s="21" t="str">
        <f>IFERROR(VLOOKUP(B40,'RE2'!A41:D815,4, FALSE),"")</f>
        <v>1000 Olson Memorial Highway, Minneapolis, MN</v>
      </c>
    </row>
    <row r="41" spans="1:5" ht="25.5" x14ac:dyDescent="0.2">
      <c r="A41" s="22" t="str">
        <f>VLOOKUP(B41, Workbook1!B31:H176, 7, FALSE)</f>
        <v>CIG</v>
      </c>
      <c r="B41" s="22" t="s">
        <v>51</v>
      </c>
      <c r="C41" s="19" t="str">
        <f>VLOOKUP(B41,Workbook1!B31:G177, 5, FALSE)</f>
        <v>10000</v>
      </c>
      <c r="D41" s="21">
        <f>VLOOKUP(B41,Workbook1!$B$2:$G$137, 6, FALSE)</f>
        <v>2016</v>
      </c>
      <c r="E41" s="21" t="str">
        <f>IFERROR(VLOOKUP(B41,'RE2'!A42:D816,4, FALSE),"")</f>
        <v>1407 West 4th St, Red Wing, MN</v>
      </c>
    </row>
    <row r="42" spans="1:5" ht="25.5" x14ac:dyDescent="0.2">
      <c r="A42" s="22" t="str">
        <f>VLOOKUP(B42, Workbook1!B31:H177, 7, FALSE)</f>
        <v>CIG; SCF</v>
      </c>
      <c r="B42" s="22" t="s">
        <v>52</v>
      </c>
      <c r="C42" s="19" t="str">
        <f>VLOOKUP(B42,Workbook1!B31:G178, 5, FALSE)</f>
        <v>10000; 10000</v>
      </c>
      <c r="D42" s="21" t="str">
        <f>VLOOKUP(B42,Workbook1!$B$2:$G$137, 6, FALSE)</f>
        <v>2016; 2015</v>
      </c>
      <c r="E42" s="21" t="str">
        <f>IFERROR(VLOOKUP(B42,'RE2'!A43:D817,4, FALSE),"")</f>
        <v>941 Lafond Ave Suite 100, St. Paul, MN</v>
      </c>
    </row>
    <row r="43" spans="1:5" ht="25.5" x14ac:dyDescent="0.2">
      <c r="A43" s="22" t="str">
        <f>VLOOKUP(B43, Workbook1!B31:H178, 7, FALSE)</f>
        <v>GP; GP</v>
      </c>
      <c r="B43" s="22" t="s">
        <v>72</v>
      </c>
      <c r="C43" s="19" t="str">
        <f>VLOOKUP(B43,Workbook1!B32:G179, 5, FALSE)</f>
        <v>250; 10000</v>
      </c>
      <c r="D43" s="21" t="str">
        <f>VLOOKUP(B43,Workbook1!$B$2:$G$137, 6, FALSE)</f>
        <v>2016; 2016</v>
      </c>
      <c r="E43" s="21" t="str">
        <f>IFERROR(VLOOKUP(B43,'RE2'!A44:D818,4, FALSE),"")</f>
        <v>PO Box 14127, St. Paul, MN</v>
      </c>
    </row>
    <row r="44" spans="1:5" x14ac:dyDescent="0.2">
      <c r="A44" s="22" t="str">
        <f>VLOOKUP(B44, Workbook1!B32:H179, 7, FALSE)</f>
        <v>CIG; CIG</v>
      </c>
      <c r="B44" s="22" t="s">
        <v>27</v>
      </c>
      <c r="C44" s="19" t="str">
        <f>VLOOKUP(B44,Workbook1!B32:G180, 5, FALSE)</f>
        <v>10000; 10000</v>
      </c>
      <c r="D44" s="21" t="str">
        <f>VLOOKUP(B44,Workbook1!$B$2:$G$137, 6, FALSE)</f>
        <v>2017; 2015</v>
      </c>
      <c r="E44" s="21" t="str">
        <f>IFERROR(VLOOKUP(B44,'RE2'!A45:D819,4, FALSE),"")</f>
        <v>810 4th Ave S, Suite 204, Moorhead, MN</v>
      </c>
    </row>
    <row r="45" spans="1:5" x14ac:dyDescent="0.2">
      <c r="A45" s="22" t="str">
        <f>VLOOKUP(B45, Workbook1!B32:H180, 7, FALSE)</f>
        <v>CIG</v>
      </c>
      <c r="B45" s="64" t="s">
        <v>2236</v>
      </c>
      <c r="C45" s="19" t="str">
        <f>VLOOKUP(B45,Workbook1!B33:G181, 5, FALSE)</f>
        <v>10000</v>
      </c>
      <c r="D45" s="21">
        <f>VLOOKUP(B45,Workbook1!$B$2:$G$137, 6, FALSE)</f>
        <v>2016</v>
      </c>
      <c r="E45" s="21" t="str">
        <f>IFERROR(VLOOKUP(B45,'RE2'!A46:D820,4, FALSE),"")</f>
        <v>444 Lexington Parkway South, Unit 1, Saint Paul, MN</v>
      </c>
    </row>
    <row r="46" spans="1:5" x14ac:dyDescent="0.2">
      <c r="A46" s="22" t="str">
        <f>VLOOKUP(B46, Workbook1!B33:H181, 7, FALSE)</f>
        <v>CIG</v>
      </c>
      <c r="B46" s="22" t="s">
        <v>28</v>
      </c>
      <c r="C46" s="19" t="str">
        <f>VLOOKUP(B46,Workbook1!B33:G182, 5, FALSE)</f>
        <v>10000</v>
      </c>
      <c r="D46" s="21">
        <f>VLOOKUP(B46,Workbook1!$B$2:$G$137, 6, FALSE)</f>
        <v>2017</v>
      </c>
      <c r="E46" s="21" t="str">
        <f>IFERROR(VLOOKUP(B46,'RE2'!A47:D821,4, FALSE),"")</f>
        <v>24 Nelson Street, Saint Paul, MN</v>
      </c>
    </row>
    <row r="47" spans="1:5" ht="25.5" x14ac:dyDescent="0.2">
      <c r="A47" s="22" t="str">
        <f>VLOOKUP(B47, Workbook1!B33:H182, 7, FALSE)</f>
        <v>GP; CIG</v>
      </c>
      <c r="B47" s="22" t="s">
        <v>61</v>
      </c>
      <c r="C47" s="19" t="str">
        <f>VLOOKUP(B47,Workbook1!B34:G184, 5, FALSE)</f>
        <v>250; 10000</v>
      </c>
      <c r="D47" s="21" t="str">
        <f>VLOOKUP(B47,Workbook1!$B$2:$G$137, 6, FALSE)</f>
        <v>2016; 2016</v>
      </c>
      <c r="E47" s="21" t="str">
        <f>IFERROR(VLOOKUP(B47,'RE2'!A49:D823,4, FALSE),"")</f>
        <v>4139 Garfield Avenue, Minneapolis, MN</v>
      </c>
    </row>
    <row r="48" spans="1:5" ht="25.5" x14ac:dyDescent="0.2">
      <c r="A48" s="22" t="str">
        <f>VLOOKUP(B48, Workbook1!B34:H183, 7, FALSE)</f>
        <v>CIG; CIG</v>
      </c>
      <c r="B48" s="22" t="s">
        <v>53</v>
      </c>
      <c r="C48" s="19" t="str">
        <f>VLOOKUP(B48,Workbook1!B35:G185, 5, FALSE)</f>
        <v>10000; 10000</v>
      </c>
      <c r="D48" s="21" t="str">
        <f>VLOOKUP(B48,Workbook1!$B$2:$G$137, 6, FALSE)</f>
        <v>2016; 2016</v>
      </c>
      <c r="E48" s="21" t="str">
        <f>IFERROR(VLOOKUP(B48,'RE2'!A50:D824,4, FALSE),"")</f>
        <v>416 East Hennepin Ave, Minneapolis, MN</v>
      </c>
    </row>
    <row r="49" spans="1:5" x14ac:dyDescent="0.2">
      <c r="A49" s="22" t="str">
        <f>VLOOKUP(B49, Workbook1!B34:H184, 7, FALSE)</f>
        <v>CIG</v>
      </c>
      <c r="B49" s="22" t="s">
        <v>834</v>
      </c>
      <c r="C49" s="19" t="str">
        <f>VLOOKUP(B49,Workbook1!B54:G208, 5, FALSE)</f>
        <v>7500</v>
      </c>
      <c r="D49" s="21">
        <f>VLOOKUP(B49,Workbook1!$B$2:$G$137, 6, FALSE)</f>
        <v>2016</v>
      </c>
      <c r="E49" s="21" t="str">
        <f>IFERROR(VLOOKUP(B49,'RE2'!A73:D847,4, FALSE),"")</f>
        <v>3416 Niollet Avenue South, Minneapolis, MN</v>
      </c>
    </row>
    <row r="50" spans="1:5" x14ac:dyDescent="0.2">
      <c r="A50" s="22" t="str">
        <f>VLOOKUP(B50, Workbook1!B35:H185, 7, FALSE)</f>
        <v>CIG; CIG</v>
      </c>
      <c r="B50" s="22" t="s">
        <v>54</v>
      </c>
      <c r="C50" s="19" t="str">
        <f>VLOOKUP(B50,Workbook1!B36:G186, 5, FALSE)</f>
        <v>10000; 10000</v>
      </c>
      <c r="D50" s="21" t="str">
        <f>VLOOKUP(B50,Workbook1!$B$2:$G$137, 6, FALSE)</f>
        <v>2016; 2015</v>
      </c>
      <c r="E50" s="21" t="str">
        <f>IFERROR(VLOOKUP(B50,'RE2'!A51:D825,4, FALSE),"")</f>
        <v>2375 University Ave W Ste 150, Saint Paul, MN</v>
      </c>
    </row>
    <row r="51" spans="1:5" x14ac:dyDescent="0.2">
      <c r="A51" s="22" t="str">
        <f>VLOOKUP(B51, Workbook1!B36:H186, 7, FALSE)</f>
        <v>CIG</v>
      </c>
      <c r="B51" s="22" t="s">
        <v>29</v>
      </c>
      <c r="C51" s="19" t="str">
        <f>VLOOKUP(B51,Workbook1!B36:G187, 5, FALSE)</f>
        <v>10000</v>
      </c>
      <c r="D51" s="21">
        <f>VLOOKUP(B51,Workbook1!$B$2:$G$137, 6, FALSE)</f>
        <v>2017</v>
      </c>
      <c r="E51" s="21" t="str">
        <f>IFERROR(VLOOKUP(B51,'RE2'!A52:D826,4, FALSE),"")</f>
        <v>2800 Fremont avenue North, suite 108, Minneapolis, MN</v>
      </c>
    </row>
    <row r="52" spans="1:5" ht="25.5" x14ac:dyDescent="0.2">
      <c r="A52" s="22" t="str">
        <f>VLOOKUP(B52, Workbook1!B36:H187, 7, FALSE)</f>
        <v>CIG</v>
      </c>
      <c r="B52" s="22" t="s">
        <v>55</v>
      </c>
      <c r="C52" s="19" t="str">
        <f>VLOOKUP(B52,Workbook1!B37:G188, 5, FALSE)</f>
        <v>10000</v>
      </c>
      <c r="D52" s="21">
        <f>VLOOKUP(B52,Workbook1!$B$2:$G$137, 6, FALSE)</f>
        <v>2016</v>
      </c>
      <c r="E52" s="21" t="str">
        <f>IFERROR(VLOOKUP(B52,'RE2'!A53:D827,4, FALSE),"")</f>
        <v>3000 5th Street NW, New Brighton, MN</v>
      </c>
    </row>
    <row r="53" spans="1:5" x14ac:dyDescent="0.2">
      <c r="A53" s="22" t="str">
        <f>VLOOKUP(B53, Workbook1!B37:H188, 7, FALSE)</f>
        <v>CIG</v>
      </c>
      <c r="B53" s="22" t="s">
        <v>65</v>
      </c>
      <c r="C53" s="19" t="str">
        <f>VLOOKUP(B53,Workbook1!B37:G189, 5, FALSE)</f>
        <v>10000</v>
      </c>
      <c r="D53" s="21">
        <f>VLOOKUP(B53,Workbook1!$B$2:$G$137, 6, FALSE)</f>
        <v>2016</v>
      </c>
      <c r="E53" s="21" t="str">
        <f>IFERROR(VLOOKUP(B53,'RE2'!A54:D828,4, FALSE),"")</f>
        <v>2353 Rice Street, Suite 240 , Roseville, MN</v>
      </c>
    </row>
    <row r="54" spans="1:5" x14ac:dyDescent="0.2">
      <c r="A54" s="22" t="str">
        <f>VLOOKUP(B54, Workbook1!B37:H189, 7, FALSE)</f>
        <v>SCF</v>
      </c>
      <c r="B54" s="22" t="s">
        <v>103</v>
      </c>
      <c r="C54" s="19" t="str">
        <f>VLOOKUP(B54,Workbook1!B38:G190, 5, FALSE)</f>
        <v>10000</v>
      </c>
      <c r="D54" s="21">
        <f>VLOOKUP(B54,Workbook1!$B$2:$G$137, 6, FALSE)</f>
        <v>2015</v>
      </c>
      <c r="E54" s="21" t="str">
        <f>IFERROR(VLOOKUP(B54,'RE2'!A55:D829,4, FALSE),"")</f>
        <v>3500 38th Ave S, Minneapolis, MN</v>
      </c>
    </row>
    <row r="55" spans="1:5" x14ac:dyDescent="0.2">
      <c r="A55" s="22" t="str">
        <f>VLOOKUP(B55, Workbook1!B38:H190, 7, FALSE)</f>
        <v>CIG</v>
      </c>
      <c r="B55" s="22" t="s">
        <v>66</v>
      </c>
      <c r="C55" s="19" t="str">
        <f>VLOOKUP(B55,Workbook1!B39:G191, 5, FALSE)</f>
        <v>10000</v>
      </c>
      <c r="D55" s="21">
        <f>VLOOKUP(B55,Workbook1!$B$2:$G$137, 6, FALSE)</f>
        <v>2016</v>
      </c>
      <c r="E55" s="21" t="str">
        <f>IFERROR(VLOOKUP(B55,'RE2'!A56:D830,4, FALSE),"")</f>
        <v>503 Irving Ave N Ste 100A, Minneapolis, MN</v>
      </c>
    </row>
    <row r="56" spans="1:5" x14ac:dyDescent="0.2">
      <c r="A56" s="22" t="str">
        <f>VLOOKUP(B56, Workbook1!B39:H191, 7, FALSE)</f>
        <v>CIG</v>
      </c>
      <c r="B56" s="22" t="s">
        <v>30</v>
      </c>
      <c r="C56" s="19" t="str">
        <f>VLOOKUP(B56,Workbook1!B40:G192, 5, FALSE)</f>
        <v>10000</v>
      </c>
      <c r="D56" s="21">
        <f>VLOOKUP(B56,Workbook1!$B$2:$G$137, 6, FALSE)</f>
        <v>2017</v>
      </c>
      <c r="E56" s="28" t="str">
        <f>IFERROR(VLOOKUP(B56,'RE2'!A57:D831,4, FALSE),"")</f>
        <v>PO Box 6223, Minneapolis, MN</v>
      </c>
    </row>
    <row r="57" spans="1:5" x14ac:dyDescent="0.2">
      <c r="A57" s="22" t="str">
        <f>VLOOKUP(B57, Workbook1!B40:H192, 7, FALSE)</f>
        <v>CIG</v>
      </c>
      <c r="B57" s="22" t="s">
        <v>71</v>
      </c>
      <c r="C57" s="19" t="str">
        <f>VLOOKUP(B57,Workbook1!B41:G193, 5, FALSE)</f>
        <v>10000</v>
      </c>
      <c r="D57" s="21">
        <f>VLOOKUP(B57,Workbook1!$B$2:$G$137, 6, FALSE)</f>
        <v>2016</v>
      </c>
      <c r="E57" s="21" t="str">
        <f>IFERROR(VLOOKUP(B57,'RE2'!A58:D832,4, FALSE),"")</f>
        <v>205 W. 2nd St, Ste 15, Duluth, MN</v>
      </c>
    </row>
    <row r="58" spans="1:5" x14ac:dyDescent="0.2">
      <c r="A58" s="22" t="str">
        <f>VLOOKUP(B58, Workbook1!B41:H193, 7, FALSE)</f>
        <v>CIG</v>
      </c>
      <c r="B58" s="22" t="s">
        <v>22</v>
      </c>
      <c r="C58" s="19" t="str">
        <f>VLOOKUP(B58,Workbook1!B42:G194, 5, FALSE)</f>
        <v>10000</v>
      </c>
      <c r="D58" s="21">
        <f>VLOOKUP(B58,Workbook1!$B$2:$G$137, 6, FALSE)</f>
        <v>2017</v>
      </c>
      <c r="E58" s="27" t="str">
        <f>IFERROR(VLOOKUP(B58,'RE2'!A59:D833,4, FALSE),"")</f>
        <v>2525 E. Franklin Ave., Ste. 301, Minneapolis, MN</v>
      </c>
    </row>
    <row r="59" spans="1:5" x14ac:dyDescent="0.2">
      <c r="A59" s="22" t="str">
        <f>VLOOKUP(B59, Workbook1!B42:H194, 7, FALSE)</f>
        <v>SCF; SCF</v>
      </c>
      <c r="B59" s="22" t="s">
        <v>104</v>
      </c>
      <c r="C59" s="19" t="str">
        <f>VLOOKUP(B59,Workbook1!B43:G195, 5, FALSE)</f>
        <v>10000; 10000</v>
      </c>
      <c r="D59" s="21" t="str">
        <f>VLOOKUP(B59,Workbook1!$B$2:$G$137, 6, FALSE)</f>
        <v>2015; 2015</v>
      </c>
      <c r="E59" s="21" t="str">
        <f>IFERROR(VLOOKUP(B59,'RE2'!A60:D834,4, FALSE),"")</f>
        <v>2233 University Ave W. Suite 434, St. Paul, MN</v>
      </c>
    </row>
    <row r="60" spans="1:5" x14ac:dyDescent="0.2">
      <c r="A60" s="22" t="str">
        <f>VLOOKUP(B60, Workbook1!B43:H195, 7, FALSE)</f>
        <v>CIG; CIG</v>
      </c>
      <c r="B60" s="22" t="s">
        <v>111</v>
      </c>
      <c r="C60" s="19" t="str">
        <f>VLOOKUP(B60,Workbook1!B44:G196, 5, FALSE)</f>
        <v>10000; 10000</v>
      </c>
      <c r="D60" s="21" t="str">
        <f>VLOOKUP(B60,Workbook1!$B$2:$G$137, 6, FALSE)</f>
        <v>2015; 2015</v>
      </c>
      <c r="E60" s="21" t="str">
        <f>IFERROR(VLOOKUP(B60,'RE2'!A61:D835,4, FALSE),"")</f>
        <v>2104 Stevens Ave. S., Minneapolis, MN</v>
      </c>
    </row>
    <row r="61" spans="1:5" ht="25.5" x14ac:dyDescent="0.2">
      <c r="A61" s="22" t="str">
        <f>VLOOKUP(B61, Workbook1!B44:H196, 7, FALSE)</f>
        <v>CIG</v>
      </c>
      <c r="B61" s="22" t="s">
        <v>82</v>
      </c>
      <c r="C61" s="19" t="str">
        <f>VLOOKUP(B61,Workbook1!B45:G197, 5, FALSE)</f>
        <v>10000</v>
      </c>
      <c r="D61" s="21">
        <f>VLOOKUP(B61,Workbook1!$B$2:$G$137, 6, FALSE)</f>
        <v>2016</v>
      </c>
      <c r="E61" s="21" t="str">
        <f>IFERROR(VLOOKUP(B61,'RE2'!A62:D836,4, FALSE),"")</f>
        <v>3405 Chicago Ave., Minneapolis, MN</v>
      </c>
    </row>
    <row r="62" spans="1:5" x14ac:dyDescent="0.2">
      <c r="A62" s="22" t="str">
        <f>VLOOKUP(B62, Workbook1!B45:H197, 7, FALSE)</f>
        <v>CIG</v>
      </c>
      <c r="B62" s="22" t="s">
        <v>99</v>
      </c>
      <c r="C62" s="19" t="str">
        <f>VLOOKUP(B62,Workbook1!B46:G198, 5, FALSE)</f>
        <v>10000</v>
      </c>
      <c r="D62" s="21">
        <f>VLOOKUP(B62,Workbook1!$B$2:$G$137, 6, FALSE)</f>
        <v>2015</v>
      </c>
      <c r="E62" s="21" t="str">
        <f>IFERROR(VLOOKUP(B62,'RE2'!A63:D837,4, FALSE),"")</f>
        <v>2211 Riverside Ave, Minneapolis, MN</v>
      </c>
    </row>
    <row r="63" spans="1:5" x14ac:dyDescent="0.2">
      <c r="A63" s="22" t="str">
        <f>VLOOKUP(B63, Workbook1!B46:H198, 7, FALSE)</f>
        <v>CIG</v>
      </c>
      <c r="B63" s="22" t="s">
        <v>79</v>
      </c>
      <c r="C63" s="19" t="str">
        <f>VLOOKUP(B63,Workbook1!B47:G199, 5, FALSE)</f>
        <v>10000</v>
      </c>
      <c r="D63" s="21">
        <f>VLOOKUP(B63,Workbook1!$B$2:$G$137, 6, FALSE)</f>
        <v>2016</v>
      </c>
      <c r="E63" s="21" t="str">
        <f>IFERROR(VLOOKUP(B63,'RE2'!A64:D838,4, FALSE),"")</f>
        <v>2314 University Ave W, Suite 28, Saint Paul, MN</v>
      </c>
    </row>
    <row r="64" spans="1:5" x14ac:dyDescent="0.2">
      <c r="A64" s="22" t="str">
        <f>VLOOKUP(B64, Workbook1!B47:H199, 7, FALSE)</f>
        <v>CIG</v>
      </c>
      <c r="B64" s="22" t="s">
        <v>100</v>
      </c>
      <c r="C64" s="19" t="str">
        <f>VLOOKUP(B64,Workbook1!B48:G200, 5, FALSE)</f>
        <v>10000</v>
      </c>
      <c r="D64" s="21">
        <f>VLOOKUP(B64,Workbook1!$B$2:$G$137, 6, FALSE)</f>
        <v>2015</v>
      </c>
      <c r="E64" s="21" t="str">
        <f>IFERROR(VLOOKUP(B64,'RE2'!A65:D839,4, FALSE),"")</f>
        <v>2300 Myrtle St, Suite 120, St. Paul, MN</v>
      </c>
    </row>
    <row r="65" spans="1:5" ht="25.5" x14ac:dyDescent="0.2">
      <c r="A65" s="22" t="str">
        <f>VLOOKUP(B65, Workbook1!B48:H200, 7, FALSE)</f>
        <v>FSC</v>
      </c>
      <c r="B65" s="22" t="s">
        <v>43</v>
      </c>
      <c r="C65" s="19" t="str">
        <f>VLOOKUP(B65,Workbook1!B48:G201, 5, FALSE)</f>
        <v>10000</v>
      </c>
      <c r="D65" s="21">
        <f>VLOOKUP(B65,Workbook1!$B$2:$G$137, 6, FALSE)</f>
        <v>2016</v>
      </c>
      <c r="E65" s="21" t="str">
        <f>IFERROR(VLOOKUP(B65,'RE2'!A66:D840,4, FALSE),"")</f>
        <v>1414 E Franklin Ave., Minneapolis, MN</v>
      </c>
    </row>
    <row r="66" spans="1:5" x14ac:dyDescent="0.2">
      <c r="A66" s="22" t="str">
        <f>VLOOKUP(B66, Workbook1!B48:H201, 7, FALSE)</f>
        <v>FSC</v>
      </c>
      <c r="B66" s="22" t="s">
        <v>76</v>
      </c>
      <c r="C66" s="19" t="str">
        <f>VLOOKUP(B66,Workbook1!B49:G202, 5, FALSE)</f>
        <v>10000</v>
      </c>
      <c r="D66" s="21">
        <f>VLOOKUP(B66,Workbook1!$B$2:$G$137, 6, FALSE)</f>
        <v>2016</v>
      </c>
      <c r="E66" s="21" t="str">
        <f>IFERROR(VLOOKUP(B66,'RE2'!A67:D841,4, FALSE),"")</f>
        <v>1113 E. Franklin Avenue, Suite 103, Minneapolis, MN</v>
      </c>
    </row>
    <row r="67" spans="1:5" x14ac:dyDescent="0.2">
      <c r="A67" s="22" t="str">
        <f>VLOOKUP(B67, Workbook1!B49:H202, 7, FALSE)</f>
        <v>SCF</v>
      </c>
      <c r="B67" s="22" t="s">
        <v>105</v>
      </c>
      <c r="C67" s="19" t="str">
        <f>VLOOKUP(B67,Workbook1!B50:G203, 5, FALSE)</f>
        <v>10000</v>
      </c>
      <c r="D67" s="21">
        <f>VLOOKUP(B67,Workbook1!$B$2:$G$137, 6, FALSE)</f>
        <v>2015</v>
      </c>
      <c r="E67" s="21" t="str">
        <f>IFERROR(VLOOKUP(B67,'RE2'!A68:D842,4, FALSE),"")</f>
        <v>4137 Bloomington Ave, Minneapolis, MN</v>
      </c>
    </row>
    <row r="68" spans="1:5" ht="25.5" x14ac:dyDescent="0.2">
      <c r="A68" s="22" t="str">
        <f>VLOOKUP(B68, Workbook1!B50:H203, 7, FALSE)</f>
        <v>CIG; EFBL; GP</v>
      </c>
      <c r="B68" s="22" t="s">
        <v>6</v>
      </c>
      <c r="C68" s="19" t="str">
        <f>VLOOKUP(B68,Workbook1!B51:G204, 5, FALSE)</f>
        <v>10000; 9451.13; 10000</v>
      </c>
      <c r="D68" s="21" t="str">
        <f>VLOOKUP(B68,Workbook1!$B$2:$G$137, 6, FALSE)</f>
        <v>2017; 2016; 2016</v>
      </c>
      <c r="E68" s="21" t="str">
        <f>IFERROR(VLOOKUP(B68,'RE2'!A69:D843,4, FALSE),"")</f>
        <v>1101 West Broadway Avenue, Suite 100, Minneapolis, MN</v>
      </c>
    </row>
    <row r="69" spans="1:5" ht="25.5" x14ac:dyDescent="0.2">
      <c r="A69" s="22" t="str">
        <f>VLOOKUP(B69, Workbook1!B51:H204, 7, FALSE)</f>
        <v>CIG; SCF; CIG</v>
      </c>
      <c r="B69" s="22" t="s">
        <v>31</v>
      </c>
      <c r="C69" s="19" t="str">
        <f>VLOOKUP(B69,Workbook1!B51:G205, 5, FALSE)</f>
        <v>10000; 10000; 10000</v>
      </c>
      <c r="D69" s="21" t="str">
        <f>VLOOKUP(B69,Workbook1!$B$2:$G$137, 6, FALSE)</f>
        <v>2017; 2015; 2015</v>
      </c>
      <c r="E69" s="21" t="str">
        <f>IFERROR(VLOOKUP(B69,'RE2'!A70:D844,4, FALSE),"")</f>
        <v>310 E. 38th St  Ste 204, Minneapolis, MN</v>
      </c>
    </row>
    <row r="70" spans="1:5" x14ac:dyDescent="0.2">
      <c r="A70" s="22" t="str">
        <f>VLOOKUP(B70, Workbook1!B51:H205, 7, FALSE)</f>
        <v>CIG</v>
      </c>
      <c r="B70" s="22" t="s">
        <v>2178</v>
      </c>
      <c r="C70" s="19" t="str">
        <f>VLOOKUP(B70,Workbook1!B52:G206, 5, FALSE)</f>
        <v>10000</v>
      </c>
      <c r="D70" s="21">
        <f>VLOOKUP(B70,Workbook1!$B$2:$G$137, 6, FALSE)</f>
        <v>2017</v>
      </c>
      <c r="E70" s="21" t="str">
        <f>IFERROR(VLOOKUP(B70,'RE2'!A71:D845,4, FALSE),"")</f>
        <v>550 Rice Street, St. Paul, MN</v>
      </c>
    </row>
    <row r="71" spans="1:5" x14ac:dyDescent="0.2">
      <c r="A71" s="22" t="str">
        <f>VLOOKUP(B71, Workbook1!B52:H206, 7, FALSE)</f>
        <v>FSC</v>
      </c>
      <c r="B71" s="22" t="s">
        <v>75</v>
      </c>
      <c r="C71" s="19" t="str">
        <f>VLOOKUP(B71,Workbook1!B53:G207, 5, FALSE)</f>
        <v>5000</v>
      </c>
      <c r="D71" s="21">
        <f>VLOOKUP(B71,Workbook1!$B$2:$G$137, 6, FALSE)</f>
        <v>2016</v>
      </c>
      <c r="E71" s="21" t="str">
        <f>IFERROR(VLOOKUP(B71,'RE2'!A72:D846,4, FALSE),"")</f>
        <v>2421 Bloomington Ave S, Minneapolis, MN</v>
      </c>
    </row>
    <row r="72" spans="1:5" x14ac:dyDescent="0.2">
      <c r="A72" s="22" t="str">
        <f>VLOOKUP(B72, Workbook1!B53:H207, 7, FALSE)</f>
        <v>CIG</v>
      </c>
      <c r="B72" s="22" t="s">
        <v>67</v>
      </c>
      <c r="C72" s="19" t="str">
        <f>VLOOKUP(B72,Workbook1!B55:G209, 5, FALSE)</f>
        <v>9864</v>
      </c>
      <c r="D72" s="21">
        <f>VLOOKUP(B72,Workbook1!$B$2:$G$137, 6, FALSE)</f>
        <v>2016</v>
      </c>
      <c r="E72" s="21" t="str">
        <f>IFERROR(VLOOKUP(B72,'RE2'!A74:D848,4, FALSE),"")</f>
        <v>202 West 3rd Street, Winona, MN</v>
      </c>
    </row>
    <row r="73" spans="1:5" x14ac:dyDescent="0.2">
      <c r="A73" s="22" t="str">
        <f>VLOOKUP(B73, Workbook1!B54:H208, 7, FALSE)</f>
        <v>CIG</v>
      </c>
      <c r="B73" s="22" t="s">
        <v>101</v>
      </c>
      <c r="C73" s="19" t="str">
        <f>VLOOKUP(B73,Workbook1!B56:G210, 5, FALSE)</f>
        <v>10000</v>
      </c>
      <c r="D73" s="21">
        <f>VLOOKUP(B73,Workbook1!$B$2:$G$137, 6, FALSE)</f>
        <v>2015</v>
      </c>
      <c r="E73" s="21" t="str">
        <f>IFERROR(VLOOKUP(B73,'RE2'!A75:D849,4, FALSE),"")</f>
        <v>771 Raymond Avenue, Saint Paul, MN</v>
      </c>
    </row>
    <row r="74" spans="1:5" x14ac:dyDescent="0.2">
      <c r="A74" s="22" t="str">
        <f>VLOOKUP(B74, Workbook1!B55:H209, 7, FALSE)</f>
        <v>CIG</v>
      </c>
      <c r="B74" s="22" t="s">
        <v>77</v>
      </c>
      <c r="C74" s="19" t="str">
        <f>VLOOKUP(B74,Workbook1!B57:G211, 5, FALSE)</f>
        <v>10000</v>
      </c>
      <c r="D74" s="21">
        <f>VLOOKUP(B74,Workbook1!$B$2:$G$137, 6, FALSE)</f>
        <v>2016</v>
      </c>
      <c r="E74" s="21" t="str">
        <f>IFERROR(VLOOKUP(B74,'RE2'!A76:D850,4, FALSE),"")</f>
        <v>350 Logan Ave N # 201, Minneapolis, MN 55405</v>
      </c>
    </row>
    <row r="75" spans="1:5" ht="25.5" x14ac:dyDescent="0.2">
      <c r="A75" s="22" t="str">
        <f>VLOOKUP(B75, Workbook1!B56:H210, 7, FALSE)</f>
        <v>CIG</v>
      </c>
      <c r="B75" s="22" t="s">
        <v>57</v>
      </c>
      <c r="C75" s="19" t="str">
        <f>VLOOKUP(B75,Workbook1!B57:G212, 5, FALSE)</f>
        <v>10000</v>
      </c>
      <c r="D75" s="21">
        <f>VLOOKUP(B75,Workbook1!$B$2:$G$137, 6, FALSE)</f>
        <v>2016</v>
      </c>
      <c r="E75" s="21" t="str">
        <f>IFERROR(VLOOKUP(B75,'RE2'!A77:D851,4, FALSE),"")</f>
        <v>1007 West Broadway Ave, Minneapolis, MN 55411</v>
      </c>
    </row>
    <row r="76" spans="1:5" ht="25.5" x14ac:dyDescent="0.2">
      <c r="A76" s="22" t="str">
        <f>VLOOKUP(B76, Workbook1!B57:H211, 7, FALSE)</f>
        <v>CIG</v>
      </c>
      <c r="B76" s="22" t="s">
        <v>91</v>
      </c>
      <c r="C76" s="19" t="str">
        <f>VLOOKUP(B76,Workbook1!B58:G213, 5, FALSE)</f>
        <v>7940</v>
      </c>
      <c r="D76" s="21">
        <f>VLOOKUP(B76,Workbook1!$B$2:$G$137, 6, FALSE)</f>
        <v>2015</v>
      </c>
      <c r="E76" s="21" t="str">
        <f>IFERROR(VLOOKUP(B76,'RE2'!A78:D852,4, FALSE),"")</f>
        <v>702 3rd Ave S, Virginia, MN</v>
      </c>
    </row>
    <row r="77" spans="1:5" x14ac:dyDescent="0.2">
      <c r="A77" s="22" t="str">
        <f>VLOOKUP(B77, Workbook1!B57:H212, 7, FALSE)</f>
        <v>CIG</v>
      </c>
      <c r="B77" s="22" t="s">
        <v>68</v>
      </c>
      <c r="C77" s="19" t="str">
        <f>VLOOKUP(B77,Workbook1!B59:G214, 5, FALSE)</f>
        <v>10000</v>
      </c>
      <c r="D77" s="21">
        <f>VLOOKUP(B77,Workbook1!$B$2:$G$137, 6, FALSE)</f>
        <v>2016</v>
      </c>
      <c r="E77" s="21" t="str">
        <f>IFERROR(VLOOKUP(B77,'RE2'!A79:D853,4, FALSE),"")</f>
        <v>3963 8th Street SW, Backus, MN</v>
      </c>
    </row>
    <row r="78" spans="1:5" x14ac:dyDescent="0.2">
      <c r="A78" s="22" t="str">
        <f>VLOOKUP(B78, Workbook1!B58:H213, 7, FALSE)</f>
        <v>GP; SCF</v>
      </c>
      <c r="B78" s="22" t="s">
        <v>81</v>
      </c>
      <c r="C78" s="19" t="str">
        <f>VLOOKUP(B78,Workbook1!B60:G215, 5, FALSE)</f>
        <v>250; 10000</v>
      </c>
      <c r="D78" s="21" t="str">
        <f>VLOOKUP(B78,Workbook1!$B$2:$G$137, 6, FALSE)</f>
        <v>2015; 2015</v>
      </c>
      <c r="E78" s="21" t="str">
        <f>IFERROR(VLOOKUP(B78,'RE2'!A80:D854,4, FALSE),"")</f>
        <v>995 University Ave. W #215, St. Paul, MN</v>
      </c>
    </row>
    <row r="79" spans="1:5" x14ac:dyDescent="0.2">
      <c r="A79" s="22" t="str">
        <f>VLOOKUP(B79, Workbook1!B59:H214, 7, FALSE)</f>
        <v>CIG</v>
      </c>
      <c r="B79" s="22" t="s">
        <v>8</v>
      </c>
      <c r="C79" s="19" t="str">
        <f>VLOOKUP(B79,Workbook1!B61:G216, 5, FALSE)</f>
        <v>10000</v>
      </c>
      <c r="D79" s="21">
        <f>VLOOKUP(B79,Workbook1!$B$2:$G$137, 6, FALSE)</f>
        <v>2017</v>
      </c>
      <c r="E79" s="21" t="str">
        <f>IFERROR(VLOOKUP(B79,'RE2'!A81:D855,4, FALSE),"")</f>
        <v>2323 Eleventh Avenue South, Suite 260, Minneapolis, MN</v>
      </c>
    </row>
    <row r="80" spans="1:5" x14ac:dyDescent="0.2">
      <c r="A80" s="22" t="str">
        <f>VLOOKUP(B80, Workbook1!B60:H215, 7, FALSE)</f>
        <v>CIG</v>
      </c>
      <c r="B80" s="22" t="s">
        <v>58</v>
      </c>
      <c r="C80" s="19" t="str">
        <f>VLOOKUP(B80,Workbook1!B62:G217, 5, FALSE)</f>
        <v>9000</v>
      </c>
      <c r="D80" s="21">
        <f>VLOOKUP(B80,Workbook1!$B$2:$G$137, 6, FALSE)</f>
        <v>2016</v>
      </c>
      <c r="E80" s="21" t="str">
        <f>IFERROR(VLOOKUP(B80,'RE2'!A82:D856,4, FALSE),"")</f>
        <v>1516 East Lake Street #11, Minneapolis, MN</v>
      </c>
    </row>
    <row r="81" spans="1:5" ht="25.5" x14ac:dyDescent="0.2">
      <c r="A81" s="22" t="str">
        <f>VLOOKUP(B81, Workbook1!B61:H216, 7, FALSE)</f>
        <v>CIG</v>
      </c>
      <c r="B81" s="22" t="s">
        <v>20</v>
      </c>
      <c r="C81" s="19" t="str">
        <f>VLOOKUP(B81,Workbook1!B63:G218, 5, FALSE)</f>
        <v>10000</v>
      </c>
      <c r="D81" s="21">
        <f>VLOOKUP(B81,Workbook1!$B$2:$G$137, 6, FALSE)</f>
        <v>2017</v>
      </c>
      <c r="E81" s="21" t="str">
        <f>IFERROR(VLOOKUP(B81,'RE2'!A83:D857,4, FALSE),"")</f>
        <v>227 E Main St #200, Mankato, MN</v>
      </c>
    </row>
    <row r="82" spans="1:5" x14ac:dyDescent="0.2">
      <c r="A82" s="22" t="str">
        <f>VLOOKUP(B82, Workbook1!B62:H217, 7, FALSE)</f>
        <v>CIG</v>
      </c>
      <c r="B82" s="22" t="s">
        <v>112</v>
      </c>
      <c r="C82" s="19" t="str">
        <f>VLOOKUP(B82,Workbook1!B64:G219, 5, FALSE)</f>
        <v>10000</v>
      </c>
      <c r="D82" s="21">
        <f>VLOOKUP(B82,Workbook1!$B$2:$G$137, 6, FALSE)</f>
        <v>2015</v>
      </c>
      <c r="E82" s="21" t="str">
        <f>IFERROR(VLOOKUP(B82,'RE2'!A84:D858,4, FALSE),"")</f>
        <v>1111 West 22nd Street, Minneapolis, MN</v>
      </c>
    </row>
    <row r="83" spans="1:5" ht="15" x14ac:dyDescent="0.25">
      <c r="A83" s="22" t="str">
        <f>VLOOKUP(B83, Workbook1!B63:H218, 7, FALSE)</f>
        <v>CIG</v>
      </c>
      <c r="B83" s="22" t="s">
        <v>86</v>
      </c>
      <c r="C83" s="19" t="str">
        <f>VLOOKUP(B83,Workbook1!B65:G220, 5, FALSE)</f>
        <v>10000</v>
      </c>
      <c r="D83" s="21">
        <f>VLOOKUP(B83,Workbook1!$B$2:$G$137, 6, FALSE)</f>
        <v>2016</v>
      </c>
      <c r="E83" s="29" t="str">
        <f>'RE2'!D672</f>
        <v>8501 54th Ave. N., New Hope, MN</v>
      </c>
    </row>
    <row r="84" spans="1:5" x14ac:dyDescent="0.2">
      <c r="A84" s="22" t="str">
        <f>VLOOKUP(B84, Workbook1!B64:H219, 7, FALSE)</f>
        <v>CIG; CIG</v>
      </c>
      <c r="B84" s="22" t="s">
        <v>59</v>
      </c>
      <c r="C84" s="19" t="str">
        <f>VLOOKUP(B84,Workbook1!B66:G221, 5, FALSE)</f>
        <v>10000; 10000</v>
      </c>
      <c r="D84" s="21" t="str">
        <f>VLOOKUP(B84,Workbook1!$B$2:$G$137, 6, FALSE)</f>
        <v>2016; 2015</v>
      </c>
      <c r="E84" s="21" t="str">
        <f>IFERROR(VLOOKUP(B84,'RE2'!A86:D860,4, FALSE),"")</f>
        <v>1517 4th Ave S., Moorhead, MN</v>
      </c>
    </row>
    <row r="85" spans="1:5" ht="25.5" x14ac:dyDescent="0.2">
      <c r="A85" s="22" t="str">
        <f>VLOOKUP(B85, Workbook1!B65:H220, 7, FALSE)</f>
        <v>CIG</v>
      </c>
      <c r="B85" s="22" t="s">
        <v>69</v>
      </c>
      <c r="C85" s="19" t="str">
        <f>VLOOKUP(B85,Workbook1!B67:G222, 5, FALSE)</f>
        <v>10000</v>
      </c>
      <c r="D85" s="21">
        <f>VLOOKUP(B85,Workbook1!$B$2:$G$137, 6, FALSE)</f>
        <v>2016</v>
      </c>
      <c r="E85" s="21" t="str">
        <f>IFERROR(VLOOKUP(B85,'RE2'!A87:D861,4, FALSE),"")</f>
        <v>600 - 18th Avenue North, Suite 1, Minneapolis, MN</v>
      </c>
    </row>
    <row r="86" spans="1:5" x14ac:dyDescent="0.2">
      <c r="A86" s="22" t="str">
        <f>VLOOKUP(B86, Workbook1!B66:H221, 7, FALSE)</f>
        <v>CIG</v>
      </c>
      <c r="B86" s="22" t="s">
        <v>113</v>
      </c>
      <c r="C86" s="19" t="str">
        <f>VLOOKUP(B86,Workbook1!B68:G223, 5, FALSE)</f>
        <v>10000</v>
      </c>
      <c r="D86" s="21">
        <f>VLOOKUP(B86,Workbook1!$B$2:$G$137, 6, FALSE)</f>
        <v>2015</v>
      </c>
      <c r="E86" s="21" t="str">
        <f>IFERROR(VLOOKUP(B86,'RE2'!A88:D862,4, FALSE),"")</f>
        <v>8014 Olson Memorial Hwy #153, Minneapolis, MN</v>
      </c>
    </row>
    <row r="87" spans="1:5" x14ac:dyDescent="0.2">
      <c r="A87" s="22" t="str">
        <f>VLOOKUP(B87, Workbook1!B67:H222, 7, FALSE)</f>
        <v>CIG</v>
      </c>
      <c r="B87" s="22" t="s">
        <v>2011</v>
      </c>
      <c r="C87" s="19" t="str">
        <f>VLOOKUP(B87,Workbook1!B69:G224, 5, FALSE)</f>
        <v>10000</v>
      </c>
      <c r="D87" s="21">
        <f>VLOOKUP(B87,Workbook1!$B$2:$G$137, 6, FALSE)</f>
        <v>2016</v>
      </c>
      <c r="E87" s="21" t="str">
        <f>IFERROR(VLOOKUP(B87,'RE2'!A89:D863,4, FALSE),"")</f>
        <v>501 north dale, St paul, MN</v>
      </c>
    </row>
    <row r="88" spans="1:5" x14ac:dyDescent="0.2">
      <c r="A88" s="22" t="str">
        <f>VLOOKUP(B88, Workbook1!B68:H223, 7, FALSE)</f>
        <v>SCF; CIG</v>
      </c>
      <c r="B88" s="22" t="s">
        <v>90</v>
      </c>
      <c r="C88" s="19" t="str">
        <f>VLOOKUP(B88,Workbook1!B70:G225, 5, FALSE)</f>
        <v>10000; 10000</v>
      </c>
      <c r="D88" s="21" t="str">
        <f>VLOOKUP(B88,Workbook1!$B$2:$G$137, 6, FALSE)</f>
        <v>2015; 2015</v>
      </c>
      <c r="E88" s="28" t="s">
        <v>1760</v>
      </c>
    </row>
    <row r="89" spans="1:5" x14ac:dyDescent="0.2">
      <c r="A89" s="22" t="str">
        <f>VLOOKUP(B89, Workbook1!B69:H224, 7, FALSE)</f>
        <v>CIG</v>
      </c>
      <c r="B89" s="22" t="s">
        <v>9</v>
      </c>
      <c r="C89" s="19" t="str">
        <f>VLOOKUP(B89,Workbook1!B70:G226, 5, FALSE)</f>
        <v>10000</v>
      </c>
      <c r="D89" s="21">
        <f>VLOOKUP(B89,Workbook1!$B$2:$G$137, 6, FALSE)</f>
        <v>2017</v>
      </c>
      <c r="E89" s="21" t="str">
        <f>IFERROR(VLOOKUP(B89,'RE2'!A91:D865,4, FALSE),"")</f>
        <v>1930 Glenwood Avenue, Minneapolis, MN</v>
      </c>
    </row>
    <row r="90" spans="1:5" ht="25.5" x14ac:dyDescent="0.2">
      <c r="A90" s="22" t="str">
        <f>VLOOKUP(B90, Workbook1!B70:H225, 7, FALSE)</f>
        <v>CIG</v>
      </c>
      <c r="B90" s="22" t="s">
        <v>2230</v>
      </c>
      <c r="C90" s="19" t="str">
        <f>VLOOKUP(B90,Workbook1!B70:G227, 5, FALSE)</f>
        <v>10000</v>
      </c>
      <c r="D90" s="21">
        <f>VLOOKUP(B90,Workbook1!$B$2:$G$137, 6, FALSE)</f>
        <v>2016</v>
      </c>
      <c r="E90" s="21" t="str">
        <f>IFERROR(VLOOKUP(B90,'RE2'!A92:D866,4, FALSE),"")</f>
        <v>McNamara Alumni Center 200 Oak Street SE, Suite 500, Minneapolis, MN</v>
      </c>
    </row>
    <row r="91" spans="1:5" x14ac:dyDescent="0.2">
      <c r="A91" s="22" t="str">
        <f>VLOOKUP(B91, Workbook1!B70:H226, 7, FALSE)</f>
        <v>CIG</v>
      </c>
      <c r="B91" s="22" t="s">
        <v>10</v>
      </c>
      <c r="C91" s="19" t="str">
        <f>VLOOKUP(B91,Workbook1!B71:G228, 5, FALSE)</f>
        <v>10000</v>
      </c>
      <c r="D91" s="21">
        <f>VLOOKUP(B91,Workbook1!$B$2:$G$137, 6, FALSE)</f>
        <v>2017</v>
      </c>
      <c r="E91" s="21" t="str">
        <f>IFERROR(VLOOKUP(B91,'RE2'!A93:D867,4, FALSE),"")</f>
        <v>3501 Chicago Avenue S, Minneapolis, MN</v>
      </c>
    </row>
    <row r="92" spans="1:5" x14ac:dyDescent="0.2">
      <c r="A92" s="22" t="str">
        <f>VLOOKUP(B92, Workbook1!B70:H227, 7, FALSE)</f>
        <v>CIG</v>
      </c>
      <c r="B92" s="22" t="s">
        <v>23</v>
      </c>
      <c r="C92" s="19" t="str">
        <f>VLOOKUP(B92,Workbook1!B72:G229, 5, FALSE)</f>
        <v>10000</v>
      </c>
      <c r="D92" s="21">
        <f>VLOOKUP(B92,Workbook1!$B$2:$G$137, 6, FALSE)</f>
        <v>2017</v>
      </c>
      <c r="E92" s="21" t="str">
        <f>IFERROR(VLOOKUP(B92,'RE2'!A94:D868,4, FALSE),"")</f>
        <v>501 North Dale St, Saint Paul, MN</v>
      </c>
    </row>
    <row r="93" spans="1:5" ht="25.5" x14ac:dyDescent="0.2">
      <c r="A93" s="22" t="str">
        <f>VLOOKUP(B93, Workbook1!B71:H228, 7, FALSE)</f>
        <v>CIG; CIG; SCF</v>
      </c>
      <c r="B93" s="22" t="s">
        <v>11</v>
      </c>
      <c r="C93" s="19" t="str">
        <f>VLOOKUP(B93,Workbook1!B73:G230, 5, FALSE)</f>
        <v>10000; 10000; 10000</v>
      </c>
      <c r="D93" s="21" t="str">
        <f>VLOOKUP(B93,Workbook1!$B$2:$G$137, 6, FALSE)</f>
        <v>2017; 2016; 2015</v>
      </c>
      <c r="E93" s="21" t="str">
        <f>IFERROR(VLOOKUP(B93,'RE2'!A95:D869,4, FALSE),"")</f>
        <v>2525 E. Franklin Ave., Ste. 301, Minneapolis, MN</v>
      </c>
    </row>
    <row r="94" spans="1:5" x14ac:dyDescent="0.2">
      <c r="A94" s="22" t="str">
        <f>VLOOKUP(B94, Workbook1!B73:H230, 7, FALSE)</f>
        <v>CIG</v>
      </c>
      <c r="B94" s="22" t="s">
        <v>32</v>
      </c>
      <c r="C94" s="19" t="str">
        <f>VLOOKUP(B94,Workbook1!B75:G232, 5, FALSE)</f>
        <v>10000</v>
      </c>
      <c r="D94" s="21">
        <f>VLOOKUP(B94,Workbook1!$B$2:$G$137, 6, FALSE)</f>
        <v>2017</v>
      </c>
      <c r="E94" s="21" t="str">
        <f>IFERROR(VLOOKUP(B94,'RE2'!A97:D871,4, FALSE),"")</f>
        <v>3548 Bryant Avenue South, Minneapolis, MN</v>
      </c>
    </row>
    <row r="95" spans="1:5" ht="25.5" x14ac:dyDescent="0.2">
      <c r="A95" s="22" t="str">
        <f>VLOOKUP(B95, Workbook1!B74:H231, 7, FALSE)</f>
        <v>CIG; CIG; SCF</v>
      </c>
      <c r="B95" s="22" t="s">
        <v>12</v>
      </c>
      <c r="C95" s="19" t="str">
        <f>VLOOKUP(B95,Workbook1!B76:G233, 5, FALSE)</f>
        <v>10000; 10000; 10000</v>
      </c>
      <c r="D95" s="21" t="str">
        <f>VLOOKUP(B95,Workbook1!$B$2:$G$137, 6, FALSE)</f>
        <v>2017; 2016; 2015</v>
      </c>
      <c r="E95" s="21" t="str">
        <f>IFERROR(VLOOKUP(B95,'RE2'!A98:D872,4, FALSE),"")</f>
        <v>1961 Selby Avenue, Saint Paul, MN</v>
      </c>
    </row>
    <row r="96" spans="1:5" ht="15" x14ac:dyDescent="0.25">
      <c r="A96" s="22" t="str">
        <f>VLOOKUP(B96, Workbook1!B75:H232, 7, FALSE)</f>
        <v>SCF; SCF</v>
      </c>
      <c r="B96" s="22" t="s">
        <v>106</v>
      </c>
      <c r="C96" s="19" t="str">
        <f>VLOOKUP(B96,Workbook1!B77:G234, 5, FALSE)</f>
        <v>10000; 10000</v>
      </c>
      <c r="D96" s="21" t="str">
        <f>VLOOKUP(B96,Workbook1!$B$2:$G$137, 6, FALSE)</f>
        <v>2015; 2015</v>
      </c>
      <c r="E96" s="29" t="s">
        <v>1761</v>
      </c>
    </row>
    <row r="97" spans="1:5" x14ac:dyDescent="0.2">
      <c r="A97" s="22" t="str">
        <f>VLOOKUP(B97, Workbook1!B76:H233, 7, FALSE)</f>
        <v>CIG</v>
      </c>
      <c r="B97" s="22" t="s">
        <v>33</v>
      </c>
      <c r="C97" s="19" t="str">
        <f>VLOOKUP(B97,Workbook1!B78:G235, 5, FALSE)</f>
        <v>10000</v>
      </c>
      <c r="D97" s="21">
        <f>VLOOKUP(B97,Workbook1!$B$2:$G$137, 6, FALSE)</f>
        <v>2017</v>
      </c>
      <c r="E97" s="21" t="str">
        <f>IFERROR(VLOOKUP(B97,'RE2'!A100:D874,4, FALSE),"")</f>
        <v>209 Page Street, Saint Paul, MN</v>
      </c>
    </row>
    <row r="98" spans="1:5" x14ac:dyDescent="0.2">
      <c r="A98" s="22" t="str">
        <f>VLOOKUP(B98, Workbook1!B77:H234, 7, FALSE)</f>
        <v>CIG</v>
      </c>
      <c r="B98" s="22" t="s">
        <v>34</v>
      </c>
      <c r="C98" s="19" t="str">
        <f>VLOOKUP(B98,Workbook1!B79:G236, 5, FALSE)</f>
        <v>10000</v>
      </c>
      <c r="D98" s="21">
        <f>VLOOKUP(B98,Workbook1!$B$2:$G$137, 6, FALSE)</f>
        <v>2017</v>
      </c>
      <c r="E98" s="28" t="str">
        <f>IFERROR(VLOOKUP(B98,'RE2'!A101:D875,4, FALSE),"")</f>
        <v>PO Box 97 607 Main Ave, Callaway, MN</v>
      </c>
    </row>
    <row r="99" spans="1:5" x14ac:dyDescent="0.2">
      <c r="A99" s="23"/>
      <c r="B99" s="23"/>
      <c r="C99" s="23"/>
      <c r="D99" s="23"/>
      <c r="E99" s="24"/>
    </row>
    <row r="100" spans="1:5" x14ac:dyDescent="0.2">
      <c r="A100" s="23"/>
      <c r="B100" s="23"/>
      <c r="C100" s="23"/>
      <c r="D100" s="23"/>
      <c r="E100" s="24"/>
    </row>
    <row r="101" spans="1:5" x14ac:dyDescent="0.2">
      <c r="A101" s="23"/>
      <c r="B101" s="23"/>
      <c r="C101" s="23"/>
      <c r="D101" s="23"/>
      <c r="E101" s="24"/>
    </row>
    <row r="102" spans="1:5" x14ac:dyDescent="0.2">
      <c r="A102" s="23"/>
      <c r="B102" s="23"/>
      <c r="C102" s="23"/>
      <c r="D102" s="23"/>
      <c r="E102" s="24"/>
    </row>
    <row r="103" spans="1:5" x14ac:dyDescent="0.2">
      <c r="A103" s="23"/>
      <c r="B103" s="23"/>
      <c r="C103" s="23"/>
      <c r="D103" s="23"/>
      <c r="E103" s="24"/>
    </row>
    <row r="104" spans="1:5" x14ac:dyDescent="0.2">
      <c r="A104" s="23"/>
      <c r="B104" s="23"/>
      <c r="C104" s="23"/>
      <c r="D104" s="23"/>
      <c r="E104" s="24"/>
    </row>
    <row r="105" spans="1:5" x14ac:dyDescent="0.2">
      <c r="A105" s="23"/>
      <c r="B105" s="23"/>
      <c r="C105" s="23"/>
      <c r="D105" s="23"/>
      <c r="E105" s="24"/>
    </row>
    <row r="106" spans="1:5" x14ac:dyDescent="0.2">
      <c r="A106" s="23"/>
      <c r="B106" s="23"/>
      <c r="C106" s="23"/>
      <c r="D106" s="23"/>
      <c r="E106" s="24"/>
    </row>
    <row r="107" spans="1:5" x14ac:dyDescent="0.2">
      <c r="A107" s="23"/>
      <c r="B107" s="23"/>
      <c r="C107" s="23"/>
      <c r="D107" s="23"/>
      <c r="E107" s="24"/>
    </row>
    <row r="108" spans="1:5" x14ac:dyDescent="0.2">
      <c r="A108" s="23"/>
      <c r="B108" s="23"/>
      <c r="C108" s="23"/>
      <c r="D108" s="23"/>
      <c r="E108" s="24"/>
    </row>
    <row r="109" spans="1:5" x14ac:dyDescent="0.2">
      <c r="A109" s="23"/>
      <c r="B109" s="23"/>
      <c r="C109" s="23"/>
      <c r="D109" s="23"/>
      <c r="E109" s="24"/>
    </row>
    <row r="110" spans="1:5" x14ac:dyDescent="0.2">
      <c r="A110" s="23"/>
      <c r="B110" s="23"/>
      <c r="C110" s="23"/>
      <c r="D110" s="23"/>
      <c r="E110" s="24"/>
    </row>
    <row r="111" spans="1:5" x14ac:dyDescent="0.2">
      <c r="A111" s="23"/>
      <c r="B111" s="23"/>
      <c r="C111" s="23"/>
      <c r="D111" s="23"/>
      <c r="E111" s="24"/>
    </row>
    <row r="112" spans="1:5" x14ac:dyDescent="0.2">
      <c r="A112" s="23"/>
      <c r="B112" s="23"/>
      <c r="C112" s="23"/>
      <c r="D112" s="23"/>
      <c r="E112" s="24"/>
    </row>
    <row r="113" spans="1:5" x14ac:dyDescent="0.2">
      <c r="A113" s="23"/>
      <c r="B113" s="23"/>
      <c r="C113" s="23"/>
      <c r="D113" s="23"/>
      <c r="E113" s="24"/>
    </row>
    <row r="114" spans="1:5" x14ac:dyDescent="0.2">
      <c r="A114" s="23"/>
      <c r="B114" s="23"/>
      <c r="C114" s="23"/>
      <c r="D114" s="23"/>
      <c r="E114" s="24"/>
    </row>
    <row r="115" spans="1:5" x14ac:dyDescent="0.2">
      <c r="A115" s="23"/>
      <c r="B115" s="23"/>
      <c r="C115" s="23"/>
      <c r="D115" s="23"/>
      <c r="E115" s="24"/>
    </row>
    <row r="116" spans="1:5" x14ac:dyDescent="0.2">
      <c r="A116" s="23"/>
      <c r="B116" s="23"/>
      <c r="C116" s="23"/>
      <c r="D116" s="23"/>
      <c r="E116" s="24"/>
    </row>
    <row r="117" spans="1:5" x14ac:dyDescent="0.2">
      <c r="A117" s="23"/>
      <c r="B117" s="23"/>
      <c r="C117" s="23"/>
      <c r="D117" s="23"/>
      <c r="E117" s="24"/>
    </row>
    <row r="118" spans="1:5" x14ac:dyDescent="0.2">
      <c r="A118" s="23"/>
      <c r="B118" s="23"/>
      <c r="C118" s="23"/>
      <c r="D118" s="23"/>
      <c r="E118" s="24"/>
    </row>
    <row r="119" spans="1:5" x14ac:dyDescent="0.2">
      <c r="A119" s="23"/>
      <c r="B119" s="23"/>
      <c r="C119" s="23"/>
      <c r="D119" s="23"/>
      <c r="E119" s="24"/>
    </row>
    <row r="120" spans="1:5" x14ac:dyDescent="0.2">
      <c r="A120" s="23"/>
      <c r="B120" s="23"/>
      <c r="C120" s="23"/>
      <c r="D120" s="23"/>
      <c r="E120" s="24"/>
    </row>
    <row r="121" spans="1:5" x14ac:dyDescent="0.2">
      <c r="A121" s="23"/>
      <c r="B121" s="23"/>
      <c r="C121" s="23"/>
      <c r="D121" s="23"/>
      <c r="E121" s="24"/>
    </row>
    <row r="122" spans="1:5" x14ac:dyDescent="0.2">
      <c r="A122" s="23"/>
      <c r="B122" s="23"/>
      <c r="C122" s="23"/>
      <c r="D122" s="23"/>
      <c r="E122" s="24"/>
    </row>
    <row r="123" spans="1:5" x14ac:dyDescent="0.2">
      <c r="A123" s="23"/>
      <c r="B123" s="23"/>
      <c r="C123" s="23"/>
      <c r="D123" s="23"/>
      <c r="E123" s="24"/>
    </row>
    <row r="124" spans="1:5" x14ac:dyDescent="0.2">
      <c r="A124" s="23"/>
      <c r="B124" s="23"/>
      <c r="C124" s="23"/>
      <c r="D124" s="23"/>
      <c r="E124" s="24"/>
    </row>
    <row r="125" spans="1:5" x14ac:dyDescent="0.2">
      <c r="A125" s="23"/>
      <c r="B125" s="23"/>
      <c r="C125" s="23"/>
      <c r="D125" s="23"/>
      <c r="E125" s="24"/>
    </row>
    <row r="126" spans="1:5" x14ac:dyDescent="0.2">
      <c r="A126" s="23"/>
      <c r="B126" s="23"/>
      <c r="C126" s="23"/>
      <c r="D126" s="23"/>
      <c r="E126" s="24"/>
    </row>
    <row r="127" spans="1:5" x14ac:dyDescent="0.2">
      <c r="A127" s="23"/>
      <c r="B127" s="23"/>
      <c r="C127" s="23"/>
      <c r="D127" s="23"/>
      <c r="E127" s="24"/>
    </row>
    <row r="128" spans="1:5" x14ac:dyDescent="0.2">
      <c r="A128" s="23"/>
      <c r="B128" s="23"/>
      <c r="C128" s="23"/>
      <c r="D128" s="23"/>
      <c r="E128" s="24"/>
    </row>
    <row r="129" spans="1:5" x14ac:dyDescent="0.2">
      <c r="A129" s="23"/>
      <c r="B129" s="23"/>
      <c r="C129" s="23"/>
      <c r="D129" s="23"/>
      <c r="E129" s="24"/>
    </row>
    <row r="130" spans="1:5" x14ac:dyDescent="0.2">
      <c r="A130" s="23"/>
      <c r="B130" s="23"/>
      <c r="C130" s="23"/>
      <c r="D130" s="23"/>
      <c r="E130" s="24"/>
    </row>
    <row r="131" spans="1:5" x14ac:dyDescent="0.2">
      <c r="A131" s="23"/>
      <c r="B131" s="23"/>
      <c r="C131" s="23"/>
      <c r="D131" s="23"/>
      <c r="E131" s="24"/>
    </row>
    <row r="132" spans="1:5" x14ac:dyDescent="0.2">
      <c r="A132" s="23"/>
      <c r="B132" s="23"/>
      <c r="C132" s="23"/>
      <c r="D132" s="23"/>
      <c r="E132" s="24"/>
    </row>
    <row r="133" spans="1:5" x14ac:dyDescent="0.2">
      <c r="A133" s="23"/>
      <c r="B133" s="23"/>
      <c r="C133" s="23"/>
      <c r="D133" s="23"/>
      <c r="E133" s="24"/>
    </row>
    <row r="134" spans="1:5" x14ac:dyDescent="0.2">
      <c r="A134" s="23"/>
      <c r="B134" s="23"/>
      <c r="C134" s="23"/>
      <c r="D134" s="23"/>
      <c r="E134" s="24"/>
    </row>
    <row r="135" spans="1:5" x14ac:dyDescent="0.2">
      <c r="A135" s="23"/>
      <c r="B135" s="23"/>
      <c r="C135" s="23"/>
      <c r="D135" s="23"/>
      <c r="E135" s="24"/>
    </row>
    <row r="136" spans="1:5" x14ac:dyDescent="0.2">
      <c r="A136" s="23"/>
      <c r="B136" s="23"/>
      <c r="C136" s="23"/>
      <c r="D136" s="23"/>
      <c r="E136" s="24"/>
    </row>
    <row r="137" spans="1:5" x14ac:dyDescent="0.2">
      <c r="A137" s="23"/>
      <c r="B137" s="23"/>
      <c r="C137" s="23"/>
      <c r="D137" s="23"/>
      <c r="E137" s="24"/>
    </row>
    <row r="138" spans="1:5" x14ac:dyDescent="0.2">
      <c r="A138" s="23"/>
      <c r="B138" s="23"/>
      <c r="C138" s="23"/>
      <c r="D138" s="23"/>
      <c r="E138" s="24"/>
    </row>
    <row r="139" spans="1:5" x14ac:dyDescent="0.2">
      <c r="A139" s="23"/>
      <c r="B139" s="23"/>
      <c r="C139" s="23"/>
      <c r="D139" s="23"/>
      <c r="E139" s="24"/>
    </row>
    <row r="140" spans="1:5" x14ac:dyDescent="0.2">
      <c r="A140" s="23"/>
      <c r="B140" s="23"/>
      <c r="C140" s="23"/>
      <c r="D140" s="23"/>
      <c r="E140" s="24"/>
    </row>
    <row r="141" spans="1:5" x14ac:dyDescent="0.2">
      <c r="A141" s="23"/>
      <c r="B141" s="23"/>
      <c r="C141" s="23"/>
      <c r="D141" s="23"/>
      <c r="E141" s="24"/>
    </row>
    <row r="142" spans="1:5" x14ac:dyDescent="0.2">
      <c r="A142" s="23"/>
      <c r="B142" s="23"/>
      <c r="C142" s="23"/>
      <c r="D142" s="23"/>
      <c r="E142" s="24"/>
    </row>
    <row r="143" spans="1:5" x14ac:dyDescent="0.2">
      <c r="A143" s="23"/>
      <c r="B143" s="23"/>
      <c r="C143" s="23"/>
      <c r="D143" s="23"/>
      <c r="E143" s="24"/>
    </row>
    <row r="144" spans="1:5" x14ac:dyDescent="0.2">
      <c r="A144" s="23"/>
      <c r="B144" s="23"/>
      <c r="C144" s="23"/>
      <c r="D144" s="23"/>
      <c r="E144" s="24"/>
    </row>
    <row r="145" spans="1:5" x14ac:dyDescent="0.2">
      <c r="A145" s="23"/>
      <c r="B145" s="23"/>
      <c r="C145" s="23"/>
      <c r="D145" s="23"/>
      <c r="E145" s="24"/>
    </row>
    <row r="146" spans="1:5" x14ac:dyDescent="0.2">
      <c r="A146" s="23"/>
      <c r="B146" s="23"/>
      <c r="C146" s="23"/>
      <c r="D146" s="23"/>
      <c r="E146" s="24"/>
    </row>
    <row r="147" spans="1:5" x14ac:dyDescent="0.2">
      <c r="A147" s="23"/>
      <c r="B147" s="23"/>
      <c r="C147" s="23"/>
      <c r="D147" s="23"/>
      <c r="E147" s="24"/>
    </row>
    <row r="148" spans="1:5" x14ac:dyDescent="0.2">
      <c r="A148" s="23"/>
      <c r="B148" s="23"/>
      <c r="C148" s="23"/>
      <c r="D148" s="23"/>
      <c r="E148" s="24"/>
    </row>
    <row r="149" spans="1:5" x14ac:dyDescent="0.2">
      <c r="A149" s="23"/>
      <c r="B149" s="23"/>
      <c r="C149" s="23"/>
      <c r="D149" s="23"/>
      <c r="E149" s="24"/>
    </row>
    <row r="150" spans="1:5" x14ac:dyDescent="0.2">
      <c r="A150" s="23"/>
      <c r="B150" s="23"/>
      <c r="C150" s="23"/>
      <c r="D150" s="23"/>
      <c r="E150" s="24"/>
    </row>
    <row r="151" spans="1:5" x14ac:dyDescent="0.2">
      <c r="A151" s="23"/>
      <c r="B151" s="23"/>
      <c r="C151" s="23"/>
      <c r="D151" s="23"/>
      <c r="E151" s="24"/>
    </row>
    <row r="152" spans="1:5" x14ac:dyDescent="0.2">
      <c r="A152" s="23"/>
      <c r="B152" s="23"/>
      <c r="C152" s="23"/>
      <c r="D152" s="23"/>
      <c r="E152" s="24"/>
    </row>
    <row r="153" spans="1:5" x14ac:dyDescent="0.2">
      <c r="A153" s="23"/>
      <c r="B153" s="23"/>
      <c r="C153" s="23"/>
      <c r="D153" s="23"/>
      <c r="E153" s="24"/>
    </row>
    <row r="154" spans="1:5" x14ac:dyDescent="0.2">
      <c r="A154" s="23"/>
      <c r="B154" s="23"/>
      <c r="C154" s="23"/>
      <c r="D154" s="23"/>
      <c r="E154" s="24"/>
    </row>
    <row r="155" spans="1:5" x14ac:dyDescent="0.2">
      <c r="A155" s="23"/>
      <c r="B155" s="23"/>
      <c r="C155" s="23"/>
      <c r="D155" s="23"/>
      <c r="E155" s="24"/>
    </row>
    <row r="156" spans="1:5" x14ac:dyDescent="0.2">
      <c r="A156" s="23"/>
      <c r="B156" s="23"/>
      <c r="C156" s="23"/>
      <c r="D156" s="23"/>
      <c r="E156" s="24"/>
    </row>
    <row r="157" spans="1:5" x14ac:dyDescent="0.2">
      <c r="A157" s="23"/>
      <c r="B157" s="23"/>
      <c r="C157" s="23"/>
      <c r="D157" s="23"/>
      <c r="E157" s="24"/>
    </row>
    <row r="158" spans="1:5" x14ac:dyDescent="0.2">
      <c r="A158" s="23"/>
      <c r="B158" s="23"/>
      <c r="C158" s="23"/>
      <c r="D158" s="23"/>
      <c r="E158" s="24"/>
    </row>
    <row r="159" spans="1:5" x14ac:dyDescent="0.2">
      <c r="A159" s="23"/>
      <c r="B159" s="23"/>
      <c r="C159" s="23"/>
      <c r="D159" s="23"/>
      <c r="E159" s="24"/>
    </row>
    <row r="160" spans="1:5" x14ac:dyDescent="0.2">
      <c r="A160" s="23"/>
      <c r="B160" s="23"/>
      <c r="C160" s="23"/>
      <c r="D160" s="23"/>
      <c r="E160" s="24"/>
    </row>
    <row r="161" spans="1:5" x14ac:dyDescent="0.2">
      <c r="A161" s="23"/>
      <c r="B161" s="23"/>
      <c r="C161" s="23"/>
      <c r="D161" s="23"/>
      <c r="E161" s="24"/>
    </row>
    <row r="162" spans="1:5" x14ac:dyDescent="0.2">
      <c r="A162" s="23"/>
      <c r="B162" s="23"/>
      <c r="C162" s="23"/>
      <c r="D162" s="23"/>
      <c r="E162" s="24"/>
    </row>
    <row r="163" spans="1:5" x14ac:dyDescent="0.2">
      <c r="A163" s="23"/>
      <c r="B163" s="23"/>
      <c r="C163" s="23"/>
      <c r="D163" s="23"/>
      <c r="E163" s="24"/>
    </row>
    <row r="164" spans="1:5" x14ac:dyDescent="0.2">
      <c r="A164" s="23"/>
      <c r="B164" s="23"/>
      <c r="C164" s="23"/>
      <c r="D164" s="23"/>
      <c r="E164" s="24"/>
    </row>
    <row r="165" spans="1:5" x14ac:dyDescent="0.2">
      <c r="A165" s="23"/>
      <c r="B165" s="23"/>
      <c r="C165" s="23"/>
      <c r="D165" s="23"/>
      <c r="E165" s="24"/>
    </row>
    <row r="166" spans="1:5" x14ac:dyDescent="0.2">
      <c r="A166" s="23"/>
      <c r="B166" s="23"/>
      <c r="C166" s="23"/>
      <c r="D166" s="23"/>
      <c r="E166" s="24"/>
    </row>
    <row r="167" spans="1:5" x14ac:dyDescent="0.2">
      <c r="A167" s="23"/>
      <c r="B167" s="23"/>
      <c r="C167" s="23"/>
      <c r="D167" s="23"/>
      <c r="E167" s="24"/>
    </row>
    <row r="168" spans="1:5" x14ac:dyDescent="0.2">
      <c r="A168" s="23"/>
      <c r="B168" s="23"/>
      <c r="C168" s="23"/>
      <c r="D168" s="23"/>
      <c r="E168" s="24"/>
    </row>
    <row r="169" spans="1:5" x14ac:dyDescent="0.2">
      <c r="A169" s="23"/>
      <c r="B169" s="23"/>
      <c r="C169" s="23"/>
      <c r="D169" s="23"/>
      <c r="E169" s="24"/>
    </row>
    <row r="170" spans="1:5" x14ac:dyDescent="0.2">
      <c r="A170" s="23"/>
      <c r="B170" s="23"/>
      <c r="C170" s="23"/>
      <c r="D170" s="23"/>
      <c r="E170" s="24"/>
    </row>
    <row r="171" spans="1:5" x14ac:dyDescent="0.2">
      <c r="A171" s="23"/>
      <c r="B171" s="23"/>
      <c r="C171" s="23"/>
      <c r="D171" s="23"/>
      <c r="E171" s="24"/>
    </row>
    <row r="172" spans="1:5" x14ac:dyDescent="0.2">
      <c r="A172" s="23"/>
      <c r="B172" s="23"/>
      <c r="C172" s="23"/>
      <c r="D172" s="23"/>
      <c r="E172" s="24"/>
    </row>
    <row r="173" spans="1:5" x14ac:dyDescent="0.2">
      <c r="A173" s="23"/>
      <c r="B173" s="23"/>
      <c r="C173" s="23"/>
      <c r="D173" s="23"/>
      <c r="E173" s="24"/>
    </row>
    <row r="174" spans="1:5" x14ac:dyDescent="0.2">
      <c r="A174" s="23"/>
      <c r="B174" s="23"/>
      <c r="C174" s="23"/>
      <c r="D174" s="23"/>
      <c r="E174" s="24"/>
    </row>
    <row r="175" spans="1:5" x14ac:dyDescent="0.2">
      <c r="A175" s="23"/>
      <c r="B175" s="23"/>
      <c r="C175" s="23"/>
      <c r="D175" s="23"/>
      <c r="E175" s="24"/>
    </row>
    <row r="176" spans="1:5" x14ac:dyDescent="0.2">
      <c r="A176" s="23"/>
      <c r="B176" s="23"/>
      <c r="C176" s="23"/>
      <c r="D176" s="23"/>
      <c r="E176" s="24"/>
    </row>
    <row r="177" spans="1:5" x14ac:dyDescent="0.2">
      <c r="A177" s="23"/>
      <c r="B177" s="23"/>
      <c r="C177" s="23"/>
      <c r="D177" s="23"/>
      <c r="E177" s="24"/>
    </row>
    <row r="178" spans="1:5" x14ac:dyDescent="0.2">
      <c r="A178" s="23"/>
      <c r="B178" s="23"/>
      <c r="C178" s="23"/>
      <c r="D178" s="23"/>
      <c r="E178" s="24"/>
    </row>
    <row r="179" spans="1:5" x14ac:dyDescent="0.2">
      <c r="A179" s="23"/>
      <c r="B179" s="23"/>
      <c r="C179" s="23"/>
      <c r="D179" s="23"/>
      <c r="E179" s="24"/>
    </row>
    <row r="180" spans="1:5" x14ac:dyDescent="0.2">
      <c r="A180" s="23"/>
      <c r="B180" s="23"/>
      <c r="C180" s="23"/>
      <c r="D180" s="23"/>
      <c r="E180" s="24"/>
    </row>
  </sheetData>
  <sortState ref="A2:E181">
    <sortCondition ref="B2:B181"/>
  </sortState>
  <conditionalFormatting sqref="C26 A1:E2 B3:C25 B27:C44 A3:A98 E97:E98 E3:E95 D3:D98 B46:C98 C45">
    <cfRule type="expression" dxfId="22" priority="4">
      <formula>IF(OR($A1="G",$A1="SCF"), TRUE,FALSE)</formula>
    </cfRule>
  </conditionalFormatting>
  <conditionalFormatting sqref="C26 A1:E2 B3:C25 B27:C44 A3:A98 E97:E98 E3:E95 D3:D98 B46:C98 C45">
    <cfRule type="expression" dxfId="21" priority="3">
      <formula>IF(A1="",TRUE,FALSE)</formula>
    </cfRule>
  </conditionalFormatting>
  <conditionalFormatting sqref="B26">
    <cfRule type="duplicateValues" dxfId="20" priority="2" stopIfTrue="1"/>
  </conditionalFormatting>
  <conditionalFormatting sqref="B26">
    <cfRule type="expression" dxfId="19" priority="1">
      <formula>IF($A26="G", TRUE,FALSE)</formula>
    </cfRule>
  </conditionalFormatting>
  <conditionalFormatting sqref="B27:B44 B1:B25 B46:B98">
    <cfRule type="duplicateValues" dxfId="18" priority="18" stopIfTrue="1"/>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37"/>
  <sheetViews>
    <sheetView topLeftCell="A52" workbookViewId="0">
      <selection activeCell="B67" sqref="B67"/>
    </sheetView>
  </sheetViews>
  <sheetFormatPr defaultRowHeight="15" x14ac:dyDescent="0.25"/>
  <cols>
    <col min="2" max="2" width="33.5703125" customWidth="1"/>
    <col min="3" max="3" width="14.85546875" style="17" customWidth="1"/>
    <col min="4" max="5" width="9.140625" customWidth="1"/>
    <col min="6" max="6" width="29.42578125" customWidth="1"/>
    <col min="7" max="7" width="28.28515625" style="17" customWidth="1"/>
  </cols>
  <sheetData>
    <row r="1" spans="1:8" x14ac:dyDescent="0.25">
      <c r="A1" s="3" t="s">
        <v>15</v>
      </c>
      <c r="B1" s="3" t="s">
        <v>16</v>
      </c>
      <c r="C1" s="15" t="s">
        <v>17</v>
      </c>
      <c r="D1" s="4" t="s">
        <v>18</v>
      </c>
      <c r="E1" s="11" t="s">
        <v>19</v>
      </c>
      <c r="F1" t="s">
        <v>589</v>
      </c>
      <c r="G1" s="17" t="s">
        <v>590</v>
      </c>
      <c r="H1" t="s">
        <v>1762</v>
      </c>
    </row>
    <row r="2" spans="1:8" ht="25.5" x14ac:dyDescent="0.25">
      <c r="A2" s="7" t="s">
        <v>4</v>
      </c>
      <c r="B2" s="22" t="s">
        <v>2177</v>
      </c>
      <c r="C2" s="16" t="s">
        <v>588</v>
      </c>
      <c r="D2" s="9">
        <v>42733</v>
      </c>
      <c r="E2" s="10">
        <f t="shared" ref="E2:E26" si="0">YEAR(D2)</f>
        <v>2016</v>
      </c>
      <c r="F2" s="13" t="str">
        <f>_xlfn.CONCAT($C2,IF($B2=$B3,_xlfn.CONCAT("; ",$F3),""))</f>
        <v>10000</v>
      </c>
      <c r="G2" s="13">
        <f>IF(B2=B3, _xlfn.CONCAT(E2,"; ",G3),E2)</f>
        <v>2016</v>
      </c>
      <c r="H2" t="str">
        <f>_xlfn.CONCAT(A2, IF(B2=B3,_xlfn.CONCAT("; ", H3), ""))</f>
        <v>CIG</v>
      </c>
    </row>
    <row r="3" spans="1:8" x14ac:dyDescent="0.25">
      <c r="A3" s="7" t="s">
        <v>4</v>
      </c>
      <c r="B3" s="7" t="s">
        <v>89</v>
      </c>
      <c r="C3" s="16">
        <v>9950</v>
      </c>
      <c r="D3" s="9">
        <v>42391</v>
      </c>
      <c r="E3" s="10">
        <f t="shared" si="0"/>
        <v>2016</v>
      </c>
      <c r="F3" s="13" t="str">
        <f t="shared" ref="F3:F16" si="1">_xlfn.CONCAT($C3,IF($B3=$B4,_xlfn.CONCAT("; ",$F4),""))</f>
        <v>9950</v>
      </c>
      <c r="G3" s="13">
        <f t="shared" ref="G3:G16" si="2">IF(B3=B4, _xlfn.CONCAT(E3,"; ",G4),E3)</f>
        <v>2016</v>
      </c>
      <c r="H3" t="str">
        <f t="shared" ref="H3:H16" si="3">_xlfn.CONCAT(A3, IF(B3=B4,_xlfn.CONCAT("; ", H4), ""))</f>
        <v>CIG</v>
      </c>
    </row>
    <row r="4" spans="1:8" x14ac:dyDescent="0.25">
      <c r="A4" s="7" t="s">
        <v>4</v>
      </c>
      <c r="B4" s="7" t="s">
        <v>107</v>
      </c>
      <c r="C4" s="16">
        <v>10000</v>
      </c>
      <c r="D4" s="9">
        <v>42123</v>
      </c>
      <c r="E4" s="10">
        <f t="shared" si="0"/>
        <v>2015</v>
      </c>
      <c r="F4" s="13" t="str">
        <f t="shared" si="1"/>
        <v>10000</v>
      </c>
      <c r="G4" s="13">
        <f t="shared" si="2"/>
        <v>2015</v>
      </c>
      <c r="H4" t="str">
        <f t="shared" si="3"/>
        <v>CIG</v>
      </c>
    </row>
    <row r="5" spans="1:8" x14ac:dyDescent="0.25">
      <c r="A5" s="7" t="s">
        <v>4</v>
      </c>
      <c r="B5" s="7" t="s">
        <v>36</v>
      </c>
      <c r="C5" s="16">
        <v>10000</v>
      </c>
      <c r="D5" s="9">
        <v>42733</v>
      </c>
      <c r="E5" s="10">
        <f t="shared" si="0"/>
        <v>2016</v>
      </c>
      <c r="F5" s="13" t="str">
        <f t="shared" si="1"/>
        <v>10000</v>
      </c>
      <c r="G5" s="13">
        <f t="shared" si="2"/>
        <v>2016</v>
      </c>
      <c r="H5" t="str">
        <f t="shared" si="3"/>
        <v>CIG</v>
      </c>
    </row>
    <row r="6" spans="1:8" x14ac:dyDescent="0.25">
      <c r="A6" s="7" t="s">
        <v>4</v>
      </c>
      <c r="B6" s="7" t="s">
        <v>85</v>
      </c>
      <c r="C6" s="16">
        <v>10000</v>
      </c>
      <c r="D6" s="9">
        <v>42391</v>
      </c>
      <c r="E6" s="10">
        <f t="shared" si="0"/>
        <v>2016</v>
      </c>
      <c r="F6" s="13" t="str">
        <f t="shared" si="1"/>
        <v>10000</v>
      </c>
      <c r="G6" s="13">
        <f t="shared" si="2"/>
        <v>2016</v>
      </c>
      <c r="H6" t="str">
        <f t="shared" si="3"/>
        <v>CIG</v>
      </c>
    </row>
    <row r="7" spans="1:8" x14ac:dyDescent="0.25">
      <c r="A7" s="7" t="s">
        <v>4</v>
      </c>
      <c r="B7" s="7" t="s">
        <v>3</v>
      </c>
      <c r="C7" s="16">
        <v>10000</v>
      </c>
      <c r="D7" s="9">
        <v>42864</v>
      </c>
      <c r="E7" s="10">
        <f t="shared" si="0"/>
        <v>2017</v>
      </c>
      <c r="F7" s="13" t="str">
        <f t="shared" si="1"/>
        <v>10000</v>
      </c>
      <c r="G7" s="13">
        <f t="shared" si="2"/>
        <v>2017</v>
      </c>
      <c r="H7" t="str">
        <f t="shared" si="3"/>
        <v>CIG</v>
      </c>
    </row>
    <row r="8" spans="1:8" x14ac:dyDescent="0.25">
      <c r="A8" s="7" t="s">
        <v>4</v>
      </c>
      <c r="B8" s="7" t="s">
        <v>87</v>
      </c>
      <c r="C8" s="16">
        <v>10000</v>
      </c>
      <c r="D8" s="9">
        <v>42391</v>
      </c>
      <c r="E8" s="10">
        <f t="shared" si="0"/>
        <v>2016</v>
      </c>
      <c r="F8" s="13" t="str">
        <f t="shared" si="1"/>
        <v>10000</v>
      </c>
      <c r="G8" s="13">
        <f t="shared" si="2"/>
        <v>2016</v>
      </c>
      <c r="H8" t="str">
        <f t="shared" si="3"/>
        <v>CIG</v>
      </c>
    </row>
    <row r="9" spans="1:8" x14ac:dyDescent="0.25">
      <c r="A9" s="7" t="s">
        <v>4</v>
      </c>
      <c r="B9" s="7" t="s">
        <v>70</v>
      </c>
      <c r="C9" s="16">
        <v>10000</v>
      </c>
      <c r="D9" s="9">
        <v>42481</v>
      </c>
      <c r="E9" s="10">
        <f t="shared" si="0"/>
        <v>2016</v>
      </c>
      <c r="F9" s="13" t="str">
        <f t="shared" si="1"/>
        <v>10000</v>
      </c>
      <c r="G9" s="13">
        <f t="shared" si="2"/>
        <v>2016</v>
      </c>
      <c r="H9" t="str">
        <f t="shared" si="3"/>
        <v>CIG</v>
      </c>
    </row>
    <row r="10" spans="1:8" x14ac:dyDescent="0.25">
      <c r="A10" s="7" t="s">
        <v>4</v>
      </c>
      <c r="B10" s="7" t="s">
        <v>37</v>
      </c>
      <c r="C10" s="16">
        <v>10000</v>
      </c>
      <c r="D10" s="9">
        <v>42733</v>
      </c>
      <c r="E10" s="10">
        <f t="shared" si="0"/>
        <v>2016</v>
      </c>
      <c r="F10" s="13" t="str">
        <f t="shared" si="1"/>
        <v>10000; 10000</v>
      </c>
      <c r="G10" s="13" t="str">
        <f t="shared" si="2"/>
        <v>2016; 2015</v>
      </c>
      <c r="H10" t="str">
        <f t="shared" si="3"/>
        <v>CIG; CIG</v>
      </c>
    </row>
    <row r="11" spans="1:8" x14ac:dyDescent="0.25">
      <c r="A11" s="7" t="s">
        <v>4</v>
      </c>
      <c r="B11" s="7" t="s">
        <v>37</v>
      </c>
      <c r="C11" s="16">
        <v>10000</v>
      </c>
      <c r="D11" s="9">
        <v>42123</v>
      </c>
      <c r="E11" s="10">
        <f t="shared" si="0"/>
        <v>2015</v>
      </c>
      <c r="F11" s="13" t="str">
        <f t="shared" si="1"/>
        <v>10000</v>
      </c>
      <c r="G11" s="13">
        <f t="shared" si="2"/>
        <v>2015</v>
      </c>
      <c r="H11" t="str">
        <f t="shared" si="3"/>
        <v>CIG</v>
      </c>
    </row>
    <row r="12" spans="1:8" x14ac:dyDescent="0.25">
      <c r="A12" s="7" t="s">
        <v>24</v>
      </c>
      <c r="B12" s="7" t="s">
        <v>25</v>
      </c>
      <c r="C12" s="16">
        <v>250</v>
      </c>
      <c r="D12" s="9">
        <v>42810</v>
      </c>
      <c r="E12" s="10">
        <f t="shared" si="0"/>
        <v>2017</v>
      </c>
      <c r="F12" s="13" t="str">
        <f t="shared" si="1"/>
        <v>250; 10000; 10000</v>
      </c>
      <c r="G12" s="13" t="str">
        <f t="shared" si="2"/>
        <v>2017; 2016; 2016</v>
      </c>
      <c r="H12" t="str">
        <f t="shared" si="3"/>
        <v>GP; GP; CIG</v>
      </c>
    </row>
    <row r="13" spans="1:8" x14ac:dyDescent="0.25">
      <c r="A13" s="7" t="s">
        <v>24</v>
      </c>
      <c r="B13" s="7" t="s">
        <v>25</v>
      </c>
      <c r="C13" s="16">
        <v>10000</v>
      </c>
      <c r="D13" s="9">
        <v>42530</v>
      </c>
      <c r="E13" s="10">
        <f t="shared" si="0"/>
        <v>2016</v>
      </c>
      <c r="F13" s="13" t="str">
        <f t="shared" si="1"/>
        <v>10000; 10000</v>
      </c>
      <c r="G13" s="13" t="str">
        <f t="shared" si="2"/>
        <v>2016; 2016</v>
      </c>
      <c r="H13" t="str">
        <f t="shared" si="3"/>
        <v>GP; CIG</v>
      </c>
    </row>
    <row r="14" spans="1:8" x14ac:dyDescent="0.25">
      <c r="A14" s="7" t="s">
        <v>4</v>
      </c>
      <c r="B14" s="7" t="s">
        <v>25</v>
      </c>
      <c r="C14" s="16">
        <v>10000</v>
      </c>
      <c r="D14" s="9">
        <v>42481</v>
      </c>
      <c r="E14" s="10">
        <f t="shared" si="0"/>
        <v>2016</v>
      </c>
      <c r="F14" s="13" t="str">
        <f t="shared" si="1"/>
        <v>10000</v>
      </c>
      <c r="G14" s="13">
        <f t="shared" si="2"/>
        <v>2016</v>
      </c>
      <c r="H14" t="str">
        <f t="shared" si="3"/>
        <v>CIG</v>
      </c>
    </row>
    <row r="15" spans="1:8" x14ac:dyDescent="0.25">
      <c r="A15" s="7" t="s">
        <v>4</v>
      </c>
      <c r="B15" s="7" t="s">
        <v>83</v>
      </c>
      <c r="C15" s="16">
        <v>10000</v>
      </c>
      <c r="D15" s="9">
        <v>42391</v>
      </c>
      <c r="E15" s="10">
        <f t="shared" si="0"/>
        <v>2016</v>
      </c>
      <c r="F15" s="13" t="str">
        <f t="shared" si="1"/>
        <v>10000</v>
      </c>
      <c r="G15" s="13">
        <f t="shared" si="2"/>
        <v>2016</v>
      </c>
      <c r="H15" t="str">
        <f t="shared" si="3"/>
        <v>CIG</v>
      </c>
    </row>
    <row r="16" spans="1:8" x14ac:dyDescent="0.25">
      <c r="A16" s="7" t="s">
        <v>4</v>
      </c>
      <c r="B16" s="7" t="s">
        <v>47</v>
      </c>
      <c r="C16" s="16">
        <v>10000</v>
      </c>
      <c r="D16" s="9">
        <v>42619</v>
      </c>
      <c r="E16" s="10">
        <f t="shared" si="0"/>
        <v>2016</v>
      </c>
      <c r="F16" s="13" t="str">
        <f t="shared" si="1"/>
        <v>10000</v>
      </c>
      <c r="G16" s="13">
        <f t="shared" si="2"/>
        <v>2016</v>
      </c>
      <c r="H16" t="str">
        <f t="shared" si="3"/>
        <v>CIG</v>
      </c>
    </row>
    <row r="17" spans="1:8" x14ac:dyDescent="0.25">
      <c r="A17" s="7" t="s">
        <v>4</v>
      </c>
      <c r="B17" s="7" t="s">
        <v>48</v>
      </c>
      <c r="C17" s="16">
        <v>10000</v>
      </c>
      <c r="D17" s="9">
        <v>42619</v>
      </c>
      <c r="E17" s="10">
        <f t="shared" si="0"/>
        <v>2016</v>
      </c>
      <c r="F17" s="13" t="str">
        <f t="shared" ref="F17:F79" si="4">_xlfn.CONCAT($C17,IF($B17=$B18,_xlfn.CONCAT("; ",$F18),""))</f>
        <v>10000</v>
      </c>
      <c r="G17" s="13">
        <f t="shared" ref="G17:G79" si="5">IF(B17=B18, _xlfn.CONCAT(E17,"; ",G18),E17)</f>
        <v>2016</v>
      </c>
      <c r="H17" t="str">
        <f t="shared" ref="H17:H79" si="6">_xlfn.CONCAT(A17, IF(B17=B18,_xlfn.CONCAT("; ", H18), ""))</f>
        <v>CIG</v>
      </c>
    </row>
    <row r="18" spans="1:8" x14ac:dyDescent="0.25">
      <c r="A18" s="7" t="s">
        <v>4</v>
      </c>
      <c r="B18" s="7" t="s">
        <v>62</v>
      </c>
      <c r="C18" s="16">
        <v>9260</v>
      </c>
      <c r="D18" s="9">
        <v>42481</v>
      </c>
      <c r="E18" s="10">
        <f t="shared" si="0"/>
        <v>2016</v>
      </c>
      <c r="F18" s="13" t="str">
        <f t="shared" si="4"/>
        <v>9260</v>
      </c>
      <c r="G18" s="13">
        <f t="shared" si="5"/>
        <v>2016</v>
      </c>
      <c r="H18" t="str">
        <f t="shared" si="6"/>
        <v>CIG</v>
      </c>
    </row>
    <row r="19" spans="1:8" x14ac:dyDescent="0.25">
      <c r="A19" s="7" t="s">
        <v>4</v>
      </c>
      <c r="B19" s="7" t="s">
        <v>88</v>
      </c>
      <c r="C19" s="16">
        <v>10000</v>
      </c>
      <c r="D19" s="9">
        <v>42391</v>
      </c>
      <c r="E19" s="10">
        <f t="shared" si="0"/>
        <v>2016</v>
      </c>
      <c r="F19" s="13" t="str">
        <f t="shared" si="4"/>
        <v>10000</v>
      </c>
      <c r="G19" s="13">
        <f t="shared" si="5"/>
        <v>2016</v>
      </c>
      <c r="H19" t="str">
        <f t="shared" si="6"/>
        <v>CIG</v>
      </c>
    </row>
    <row r="20" spans="1:8" x14ac:dyDescent="0.25">
      <c r="A20" s="7" t="s">
        <v>2027</v>
      </c>
      <c r="B20" s="7" t="s">
        <v>46</v>
      </c>
      <c r="C20" s="16">
        <v>42963</v>
      </c>
      <c r="D20" s="9">
        <v>42703</v>
      </c>
      <c r="E20" s="10">
        <f t="shared" si="0"/>
        <v>2016</v>
      </c>
      <c r="F20" s="13" t="str">
        <f t="shared" si="4"/>
        <v>42963; 10000; 250; 10000</v>
      </c>
      <c r="G20" s="13" t="str">
        <f t="shared" si="5"/>
        <v>2016; 2016; 2015; 2015</v>
      </c>
      <c r="H20" t="str">
        <f t="shared" si="6"/>
        <v>EFBL; GP; GP; SCF</v>
      </c>
    </row>
    <row r="21" spans="1:8" x14ac:dyDescent="0.25">
      <c r="A21" s="7" t="s">
        <v>24</v>
      </c>
      <c r="B21" s="7" t="s">
        <v>46</v>
      </c>
      <c r="C21" s="16">
        <v>10000</v>
      </c>
      <c r="D21" s="9">
        <v>42397</v>
      </c>
      <c r="E21" s="10">
        <f t="shared" si="0"/>
        <v>2016</v>
      </c>
      <c r="F21" s="13" t="str">
        <f t="shared" si="4"/>
        <v>10000; 250; 10000</v>
      </c>
      <c r="G21" s="13" t="str">
        <f t="shared" si="5"/>
        <v>2016; 2015; 2015</v>
      </c>
      <c r="H21" t="str">
        <f t="shared" si="6"/>
        <v>GP; GP; SCF</v>
      </c>
    </row>
    <row r="22" spans="1:8" x14ac:dyDescent="0.25">
      <c r="A22" s="7" t="s">
        <v>24</v>
      </c>
      <c r="B22" s="7" t="s">
        <v>46</v>
      </c>
      <c r="C22" s="16">
        <v>250</v>
      </c>
      <c r="D22" s="9">
        <v>42261</v>
      </c>
      <c r="E22" s="10">
        <f t="shared" si="0"/>
        <v>2015</v>
      </c>
      <c r="F22" s="13" t="str">
        <f t="shared" si="4"/>
        <v>250; 10000</v>
      </c>
      <c r="G22" s="13" t="str">
        <f t="shared" si="5"/>
        <v>2015; 2015</v>
      </c>
      <c r="H22" t="str">
        <f t="shared" si="6"/>
        <v>GP; SCF</v>
      </c>
    </row>
    <row r="23" spans="1:8" x14ac:dyDescent="0.25">
      <c r="A23" s="7" t="s">
        <v>102</v>
      </c>
      <c r="B23" s="7" t="s">
        <v>46</v>
      </c>
      <c r="C23" s="16">
        <v>10000</v>
      </c>
      <c r="D23" s="9">
        <v>42178</v>
      </c>
      <c r="E23" s="10">
        <f t="shared" si="0"/>
        <v>2015</v>
      </c>
      <c r="F23" s="13" t="str">
        <f t="shared" si="4"/>
        <v>10000</v>
      </c>
      <c r="G23" s="13">
        <f t="shared" si="5"/>
        <v>2015</v>
      </c>
      <c r="H23" t="str">
        <f t="shared" si="6"/>
        <v>SCF</v>
      </c>
    </row>
    <row r="24" spans="1:8" x14ac:dyDescent="0.25">
      <c r="A24" s="7" t="s">
        <v>4</v>
      </c>
      <c r="B24" s="7" t="s">
        <v>38</v>
      </c>
      <c r="C24" s="16">
        <v>10000</v>
      </c>
      <c r="D24" s="9">
        <v>42733</v>
      </c>
      <c r="E24" s="10">
        <f t="shared" si="0"/>
        <v>2016</v>
      </c>
      <c r="F24" s="13" t="str">
        <f t="shared" si="4"/>
        <v>10000; 7500</v>
      </c>
      <c r="G24" s="13" t="str">
        <f t="shared" si="5"/>
        <v>2016; 2015</v>
      </c>
      <c r="H24" t="str">
        <f t="shared" si="6"/>
        <v>CIG; CIG</v>
      </c>
    </row>
    <row r="25" spans="1:8" x14ac:dyDescent="0.25">
      <c r="A25" s="7" t="s">
        <v>4</v>
      </c>
      <c r="B25" s="7" t="s">
        <v>38</v>
      </c>
      <c r="C25" s="16">
        <v>7500</v>
      </c>
      <c r="D25" s="9">
        <v>42244</v>
      </c>
      <c r="E25" s="10">
        <f t="shared" si="0"/>
        <v>2015</v>
      </c>
      <c r="F25" s="13" t="str">
        <f t="shared" si="4"/>
        <v>7500</v>
      </c>
      <c r="G25" s="13">
        <f t="shared" si="5"/>
        <v>2015</v>
      </c>
      <c r="H25" t="str">
        <f t="shared" si="6"/>
        <v>CIG</v>
      </c>
    </row>
    <row r="26" spans="1:8" x14ac:dyDescent="0.25">
      <c r="A26" s="7" t="s">
        <v>4</v>
      </c>
      <c r="B26" s="7" t="s">
        <v>92</v>
      </c>
      <c r="C26" s="16">
        <v>10000</v>
      </c>
      <c r="D26" s="9">
        <v>42244</v>
      </c>
      <c r="E26" s="10">
        <f t="shared" si="0"/>
        <v>2015</v>
      </c>
      <c r="F26" s="13" t="str">
        <f t="shared" si="4"/>
        <v>10000</v>
      </c>
      <c r="G26" s="13">
        <f t="shared" si="5"/>
        <v>2015</v>
      </c>
      <c r="H26" t="str">
        <f t="shared" si="6"/>
        <v>CIG</v>
      </c>
    </row>
    <row r="27" spans="1:8" x14ac:dyDescent="0.25">
      <c r="A27" s="7" t="s">
        <v>4</v>
      </c>
      <c r="B27" s="7" t="s">
        <v>93</v>
      </c>
      <c r="C27" s="16">
        <v>10000</v>
      </c>
      <c r="D27" s="9">
        <v>42244</v>
      </c>
      <c r="E27" s="10">
        <f t="shared" ref="E27:E47" si="7">YEAR(D27)</f>
        <v>2015</v>
      </c>
      <c r="F27" s="13" t="str">
        <f t="shared" si="4"/>
        <v>10000</v>
      </c>
      <c r="G27" s="13">
        <f t="shared" si="5"/>
        <v>2015</v>
      </c>
      <c r="H27" t="str">
        <f t="shared" si="6"/>
        <v>CIG</v>
      </c>
    </row>
    <row r="28" spans="1:8" x14ac:dyDescent="0.25">
      <c r="A28" s="7" t="s">
        <v>4</v>
      </c>
      <c r="B28" s="7" t="s">
        <v>39</v>
      </c>
      <c r="C28" s="16">
        <v>10000</v>
      </c>
      <c r="D28" s="9">
        <v>42733</v>
      </c>
      <c r="E28" s="10">
        <f t="shared" si="7"/>
        <v>2016</v>
      </c>
      <c r="F28" s="13" t="str">
        <f t="shared" si="4"/>
        <v>10000; 10000; 10000; 10000; 10000</v>
      </c>
      <c r="G28" s="13" t="str">
        <f t="shared" si="5"/>
        <v>2016; 2016; 2016; 2015; 2015</v>
      </c>
      <c r="H28" t="str">
        <f t="shared" si="6"/>
        <v>CIG; GP; GP; CIG; SCF</v>
      </c>
    </row>
    <row r="29" spans="1:8" x14ac:dyDescent="0.25">
      <c r="A29" s="7" t="s">
        <v>24</v>
      </c>
      <c r="B29" s="7" t="s">
        <v>39</v>
      </c>
      <c r="C29" s="16">
        <v>10000</v>
      </c>
      <c r="D29" s="9">
        <v>42530</v>
      </c>
      <c r="E29" s="10">
        <f t="shared" si="7"/>
        <v>2016</v>
      </c>
      <c r="F29" s="13" t="str">
        <f t="shared" si="4"/>
        <v>10000; 10000; 10000; 10000</v>
      </c>
      <c r="G29" s="13" t="str">
        <f t="shared" si="5"/>
        <v>2016; 2016; 2015; 2015</v>
      </c>
      <c r="H29" t="str">
        <f t="shared" si="6"/>
        <v>GP; GP; CIG; SCF</v>
      </c>
    </row>
    <row r="30" spans="1:8" x14ac:dyDescent="0.25">
      <c r="A30" s="7" t="s">
        <v>24</v>
      </c>
      <c r="B30" s="7" t="s">
        <v>39</v>
      </c>
      <c r="C30" s="16">
        <v>10000</v>
      </c>
      <c r="D30" s="9">
        <v>42397</v>
      </c>
      <c r="E30" s="10">
        <f t="shared" si="7"/>
        <v>2016</v>
      </c>
      <c r="F30" s="13" t="str">
        <f t="shared" si="4"/>
        <v>10000; 10000; 10000</v>
      </c>
      <c r="G30" s="13" t="str">
        <f t="shared" si="5"/>
        <v>2016; 2015; 2015</v>
      </c>
      <c r="H30" t="str">
        <f t="shared" si="6"/>
        <v>GP; CIG; SCF</v>
      </c>
    </row>
    <row r="31" spans="1:8" x14ac:dyDescent="0.25">
      <c r="A31" s="7" t="s">
        <v>4</v>
      </c>
      <c r="B31" s="7" t="s">
        <v>39</v>
      </c>
      <c r="C31" s="16">
        <v>10000</v>
      </c>
      <c r="D31" s="9">
        <v>42244</v>
      </c>
      <c r="E31" s="10">
        <f t="shared" si="7"/>
        <v>2015</v>
      </c>
      <c r="F31" s="13" t="str">
        <f t="shared" si="4"/>
        <v>10000; 10000</v>
      </c>
      <c r="G31" s="13" t="str">
        <f t="shared" si="5"/>
        <v>2015; 2015</v>
      </c>
      <c r="H31" t="str">
        <f t="shared" si="6"/>
        <v>CIG; SCF</v>
      </c>
    </row>
    <row r="32" spans="1:8" x14ac:dyDescent="0.25">
      <c r="A32" s="7" t="s">
        <v>102</v>
      </c>
      <c r="B32" s="7" t="s">
        <v>39</v>
      </c>
      <c r="C32" s="16">
        <v>10000</v>
      </c>
      <c r="D32" s="9">
        <v>42178</v>
      </c>
      <c r="E32" s="10">
        <f t="shared" si="7"/>
        <v>2015</v>
      </c>
      <c r="F32" s="13" t="str">
        <f t="shared" si="4"/>
        <v>10000</v>
      </c>
      <c r="G32" s="13">
        <f t="shared" si="5"/>
        <v>2015</v>
      </c>
      <c r="H32" t="str">
        <f t="shared" si="6"/>
        <v>SCF</v>
      </c>
    </row>
    <row r="33" spans="1:8" x14ac:dyDescent="0.25">
      <c r="A33" s="7" t="s">
        <v>4</v>
      </c>
      <c r="B33" s="7" t="s">
        <v>108</v>
      </c>
      <c r="C33" s="16">
        <v>10000</v>
      </c>
      <c r="D33" s="9">
        <v>42123</v>
      </c>
      <c r="E33" s="10">
        <f t="shared" si="7"/>
        <v>2015</v>
      </c>
      <c r="F33" s="13" t="str">
        <f t="shared" si="4"/>
        <v>10000</v>
      </c>
      <c r="G33" s="13">
        <f t="shared" si="5"/>
        <v>2015</v>
      </c>
      <c r="H33" t="str">
        <f t="shared" si="6"/>
        <v>CIG</v>
      </c>
    </row>
    <row r="34" spans="1:8" x14ac:dyDescent="0.25">
      <c r="A34" s="7" t="s">
        <v>4</v>
      </c>
      <c r="B34" s="7" t="s">
        <v>109</v>
      </c>
      <c r="C34" s="16">
        <v>10000</v>
      </c>
      <c r="D34" s="9">
        <v>42123</v>
      </c>
      <c r="E34" s="10">
        <f t="shared" si="7"/>
        <v>2015</v>
      </c>
      <c r="F34" s="13" t="str">
        <f t="shared" si="4"/>
        <v>10000</v>
      </c>
      <c r="G34" s="13">
        <f t="shared" si="5"/>
        <v>2015</v>
      </c>
      <c r="H34" t="str">
        <f t="shared" si="6"/>
        <v>CIG</v>
      </c>
    </row>
    <row r="35" spans="1:8" x14ac:dyDescent="0.25">
      <c r="A35" s="7" t="s">
        <v>4</v>
      </c>
      <c r="B35" s="7" t="s">
        <v>49</v>
      </c>
      <c r="C35" s="16">
        <v>10000</v>
      </c>
      <c r="D35" s="9">
        <v>42619</v>
      </c>
      <c r="E35" s="10">
        <f t="shared" si="7"/>
        <v>2016</v>
      </c>
      <c r="F35" s="13" t="str">
        <f t="shared" si="4"/>
        <v>10000</v>
      </c>
      <c r="G35" s="13">
        <f t="shared" si="5"/>
        <v>2016</v>
      </c>
      <c r="H35" t="str">
        <f t="shared" si="6"/>
        <v>CIG</v>
      </c>
    </row>
    <row r="36" spans="1:8" x14ac:dyDescent="0.25">
      <c r="A36" s="7" t="s">
        <v>4</v>
      </c>
      <c r="B36" s="7" t="s">
        <v>94</v>
      </c>
      <c r="C36" s="16">
        <v>10000</v>
      </c>
      <c r="D36" s="9">
        <v>42244</v>
      </c>
      <c r="E36" s="10">
        <f t="shared" si="7"/>
        <v>2015</v>
      </c>
      <c r="F36" s="13" t="str">
        <f t="shared" si="4"/>
        <v>10000</v>
      </c>
      <c r="G36" s="13">
        <f t="shared" si="5"/>
        <v>2015</v>
      </c>
      <c r="H36" t="str">
        <f t="shared" si="6"/>
        <v>CIG</v>
      </c>
    </row>
    <row r="37" spans="1:8" ht="25.5" x14ac:dyDescent="0.25">
      <c r="A37" s="7" t="s">
        <v>4</v>
      </c>
      <c r="B37" s="22" t="s">
        <v>218</v>
      </c>
      <c r="C37" s="16">
        <v>10000</v>
      </c>
      <c r="D37" s="9">
        <v>42391</v>
      </c>
      <c r="E37" s="10">
        <f t="shared" si="7"/>
        <v>2016</v>
      </c>
      <c r="F37" s="13" t="str">
        <f t="shared" si="4"/>
        <v>10000</v>
      </c>
      <c r="G37" s="13">
        <f t="shared" si="5"/>
        <v>2016</v>
      </c>
      <c r="H37" t="str">
        <f t="shared" si="6"/>
        <v>CIG</v>
      </c>
    </row>
    <row r="38" spans="1:8" x14ac:dyDescent="0.25">
      <c r="A38" s="7" t="s">
        <v>4</v>
      </c>
      <c r="B38" s="7" t="s">
        <v>110</v>
      </c>
      <c r="C38" s="16">
        <v>4500</v>
      </c>
      <c r="D38" s="9">
        <v>42123</v>
      </c>
      <c r="E38" s="10">
        <f t="shared" si="7"/>
        <v>2015</v>
      </c>
      <c r="F38" s="13" t="str">
        <f t="shared" si="4"/>
        <v>4500</v>
      </c>
      <c r="G38" s="13">
        <f t="shared" si="5"/>
        <v>2015</v>
      </c>
      <c r="H38" t="str">
        <f t="shared" si="6"/>
        <v>CIG</v>
      </c>
    </row>
    <row r="39" spans="1:8" x14ac:dyDescent="0.25">
      <c r="A39" s="7" t="s">
        <v>4</v>
      </c>
      <c r="B39" s="7" t="s">
        <v>78</v>
      </c>
      <c r="C39" s="16">
        <v>10000</v>
      </c>
      <c r="D39" s="9">
        <v>42391</v>
      </c>
      <c r="E39" s="10">
        <f t="shared" si="7"/>
        <v>2016</v>
      </c>
      <c r="F39" s="13" t="str">
        <f t="shared" si="4"/>
        <v>10000</v>
      </c>
      <c r="G39" s="13">
        <f t="shared" si="5"/>
        <v>2016</v>
      </c>
      <c r="H39" t="str">
        <f t="shared" si="6"/>
        <v>CIG</v>
      </c>
    </row>
    <row r="40" spans="1:8" x14ac:dyDescent="0.25">
      <c r="A40" s="7" t="s">
        <v>41</v>
      </c>
      <c r="B40" s="7" t="s">
        <v>42</v>
      </c>
      <c r="C40" s="16">
        <v>10000</v>
      </c>
      <c r="D40" s="9">
        <v>42733</v>
      </c>
      <c r="E40" s="10">
        <f t="shared" si="7"/>
        <v>2016</v>
      </c>
      <c r="F40" s="13" t="str">
        <f t="shared" si="4"/>
        <v>10000; 10000; 10000</v>
      </c>
      <c r="G40" s="13" t="str">
        <f t="shared" si="5"/>
        <v>2016; 2016; 2015</v>
      </c>
      <c r="H40" t="str">
        <f t="shared" si="6"/>
        <v>FSC; FSC; CIG</v>
      </c>
    </row>
    <row r="41" spans="1:8" x14ac:dyDescent="0.25">
      <c r="A41" s="7" t="s">
        <v>41</v>
      </c>
      <c r="B41" s="7" t="s">
        <v>42</v>
      </c>
      <c r="C41" s="16">
        <v>10000</v>
      </c>
      <c r="D41" s="9">
        <v>42402</v>
      </c>
      <c r="E41" s="10">
        <f t="shared" si="7"/>
        <v>2016</v>
      </c>
      <c r="F41" s="13" t="str">
        <f t="shared" si="4"/>
        <v>10000; 10000</v>
      </c>
      <c r="G41" s="13" t="str">
        <f t="shared" si="5"/>
        <v>2016; 2015</v>
      </c>
      <c r="H41" t="str">
        <f t="shared" si="6"/>
        <v>FSC; CIG</v>
      </c>
    </row>
    <row r="42" spans="1:8" x14ac:dyDescent="0.25">
      <c r="A42" s="7" t="s">
        <v>4</v>
      </c>
      <c r="B42" s="7" t="s">
        <v>42</v>
      </c>
      <c r="C42" s="16">
        <v>10000</v>
      </c>
      <c r="D42" s="9">
        <v>42123</v>
      </c>
      <c r="E42" s="10">
        <f t="shared" si="7"/>
        <v>2015</v>
      </c>
      <c r="F42" s="13" t="str">
        <f t="shared" si="4"/>
        <v>10000</v>
      </c>
      <c r="G42" s="13">
        <f t="shared" si="5"/>
        <v>2015</v>
      </c>
      <c r="H42" t="str">
        <f t="shared" si="6"/>
        <v>CIG</v>
      </c>
    </row>
    <row r="43" spans="1:8" x14ac:dyDescent="0.25">
      <c r="A43" s="7" t="s">
        <v>4</v>
      </c>
      <c r="B43" s="7" t="s">
        <v>40</v>
      </c>
      <c r="C43" s="16">
        <v>10000</v>
      </c>
      <c r="D43" s="9">
        <v>42733</v>
      </c>
      <c r="E43" s="10">
        <f t="shared" si="7"/>
        <v>2016</v>
      </c>
      <c r="F43" s="13" t="str">
        <f t="shared" si="4"/>
        <v>10000</v>
      </c>
      <c r="G43" s="13">
        <f t="shared" si="5"/>
        <v>2016</v>
      </c>
      <c r="H43" t="str">
        <f t="shared" si="6"/>
        <v>CIG</v>
      </c>
    </row>
    <row r="44" spans="1:8" x14ac:dyDescent="0.25">
      <c r="A44" s="7" t="s">
        <v>4</v>
      </c>
      <c r="B44" s="7" t="s">
        <v>96</v>
      </c>
      <c r="C44" s="16">
        <v>10000</v>
      </c>
      <c r="D44" s="9">
        <v>42244</v>
      </c>
      <c r="E44" s="10">
        <f t="shared" si="7"/>
        <v>2015</v>
      </c>
      <c r="F44" s="13" t="str">
        <f t="shared" si="4"/>
        <v>10000</v>
      </c>
      <c r="G44" s="13">
        <f t="shared" si="5"/>
        <v>2015</v>
      </c>
      <c r="H44" t="str">
        <f t="shared" si="6"/>
        <v>CIG</v>
      </c>
    </row>
    <row r="45" spans="1:8" x14ac:dyDescent="0.25">
      <c r="A45" s="7" t="s">
        <v>4</v>
      </c>
      <c r="B45" s="7" t="s">
        <v>21</v>
      </c>
      <c r="C45" s="16">
        <v>10000</v>
      </c>
      <c r="D45" s="9">
        <v>42864</v>
      </c>
      <c r="E45" s="10">
        <f t="shared" si="7"/>
        <v>2017</v>
      </c>
      <c r="F45" s="13" t="str">
        <f t="shared" si="4"/>
        <v>10000; 10000; 10000</v>
      </c>
      <c r="G45" s="13" t="str">
        <f t="shared" si="5"/>
        <v>2017; 2016; 2016</v>
      </c>
      <c r="H45" t="str">
        <f t="shared" si="6"/>
        <v>CIG; FSC; GP</v>
      </c>
    </row>
    <row r="46" spans="1:8" x14ac:dyDescent="0.25">
      <c r="A46" s="7" t="s">
        <v>41</v>
      </c>
      <c r="B46" s="7" t="s">
        <v>21</v>
      </c>
      <c r="C46" s="16">
        <v>10000</v>
      </c>
      <c r="D46" s="9">
        <v>42733</v>
      </c>
      <c r="E46" s="10">
        <f t="shared" si="7"/>
        <v>2016</v>
      </c>
      <c r="F46" s="13" t="str">
        <f t="shared" si="4"/>
        <v>10000; 10000</v>
      </c>
      <c r="G46" s="13" t="str">
        <f t="shared" si="5"/>
        <v>2016; 2016</v>
      </c>
      <c r="H46" t="str">
        <f t="shared" si="6"/>
        <v>FSC; GP</v>
      </c>
    </row>
    <row r="47" spans="1:8" x14ac:dyDescent="0.25">
      <c r="A47" s="7" t="s">
        <v>24</v>
      </c>
      <c r="B47" s="7" t="s">
        <v>21</v>
      </c>
      <c r="C47" s="16">
        <v>10000</v>
      </c>
      <c r="D47" s="9">
        <v>42530</v>
      </c>
      <c r="E47" s="10">
        <f t="shared" si="7"/>
        <v>2016</v>
      </c>
      <c r="F47" s="13" t="str">
        <f t="shared" si="4"/>
        <v>10000</v>
      </c>
      <c r="G47" s="13">
        <f t="shared" si="5"/>
        <v>2016</v>
      </c>
      <c r="H47" t="str">
        <f t="shared" si="6"/>
        <v>GP</v>
      </c>
    </row>
    <row r="48" spans="1:8" x14ac:dyDescent="0.25">
      <c r="A48" s="7" t="s">
        <v>4</v>
      </c>
      <c r="B48" s="7" t="s">
        <v>5</v>
      </c>
      <c r="C48" s="16">
        <v>10000</v>
      </c>
      <c r="D48" s="9">
        <v>42864</v>
      </c>
      <c r="E48" s="10">
        <f t="shared" ref="E48:E75" si="8">YEAR(D48)</f>
        <v>2017</v>
      </c>
      <c r="F48" s="13" t="str">
        <f t="shared" si="4"/>
        <v>10000</v>
      </c>
      <c r="G48" s="13">
        <f t="shared" si="5"/>
        <v>2017</v>
      </c>
      <c r="H48" t="str">
        <f t="shared" si="6"/>
        <v>CIG</v>
      </c>
    </row>
    <row r="49" spans="1:8" x14ac:dyDescent="0.25">
      <c r="A49" s="7" t="s">
        <v>4</v>
      </c>
      <c r="B49" s="7" t="s">
        <v>97</v>
      </c>
      <c r="C49" s="16">
        <v>10000</v>
      </c>
      <c r="D49" s="9">
        <v>42244</v>
      </c>
      <c r="E49" s="10">
        <f t="shared" si="8"/>
        <v>2015</v>
      </c>
      <c r="F49" s="13" t="str">
        <f t="shared" si="4"/>
        <v>10000</v>
      </c>
      <c r="G49" s="13">
        <f t="shared" si="5"/>
        <v>2015</v>
      </c>
      <c r="H49" t="str">
        <f t="shared" si="6"/>
        <v>CIG</v>
      </c>
    </row>
    <row r="50" spans="1:8" x14ac:dyDescent="0.25">
      <c r="A50" s="7" t="s">
        <v>4</v>
      </c>
      <c r="B50" s="7" t="s">
        <v>63</v>
      </c>
      <c r="C50" s="16">
        <v>7000</v>
      </c>
      <c r="D50" s="9">
        <v>42481</v>
      </c>
      <c r="E50" s="10">
        <f t="shared" si="8"/>
        <v>2016</v>
      </c>
      <c r="F50" s="13" t="str">
        <f t="shared" si="4"/>
        <v>7000</v>
      </c>
      <c r="G50" s="13">
        <f t="shared" si="5"/>
        <v>2016</v>
      </c>
      <c r="H50" t="str">
        <f t="shared" si="6"/>
        <v>CIG</v>
      </c>
    </row>
    <row r="51" spans="1:8" x14ac:dyDescent="0.25">
      <c r="A51" s="7" t="s">
        <v>24</v>
      </c>
      <c r="B51" s="7" t="s">
        <v>26</v>
      </c>
      <c r="C51" s="16">
        <v>250</v>
      </c>
      <c r="D51" s="9">
        <v>42810</v>
      </c>
      <c r="E51" s="10">
        <f t="shared" si="8"/>
        <v>2017</v>
      </c>
      <c r="F51" s="13" t="str">
        <f t="shared" si="4"/>
        <v>250; 10000; 10000; 10000</v>
      </c>
      <c r="G51" s="13" t="str">
        <f t="shared" si="5"/>
        <v>2017; 2016; 2016; 2015</v>
      </c>
      <c r="H51" t="str">
        <f t="shared" si="6"/>
        <v>GP; GP; GP; SCF</v>
      </c>
    </row>
    <row r="52" spans="1:8" x14ac:dyDescent="0.25">
      <c r="A52" s="7" t="s">
        <v>24</v>
      </c>
      <c r="B52" s="7" t="s">
        <v>26</v>
      </c>
      <c r="C52" s="16">
        <v>10000</v>
      </c>
      <c r="D52" s="9">
        <v>42530</v>
      </c>
      <c r="E52" s="10">
        <f t="shared" si="8"/>
        <v>2016</v>
      </c>
      <c r="F52" s="13" t="str">
        <f t="shared" si="4"/>
        <v>10000; 10000; 10000</v>
      </c>
      <c r="G52" s="13" t="str">
        <f t="shared" si="5"/>
        <v>2016; 2016; 2015</v>
      </c>
      <c r="H52" t="str">
        <f t="shared" si="6"/>
        <v>GP; GP; SCF</v>
      </c>
    </row>
    <row r="53" spans="1:8" x14ac:dyDescent="0.25">
      <c r="A53" s="7" t="s">
        <v>24</v>
      </c>
      <c r="B53" s="7" t="s">
        <v>26</v>
      </c>
      <c r="C53" s="16">
        <v>10000</v>
      </c>
      <c r="D53" s="9">
        <v>42397</v>
      </c>
      <c r="E53" s="10">
        <f t="shared" si="8"/>
        <v>2016</v>
      </c>
      <c r="F53" s="13" t="str">
        <f t="shared" si="4"/>
        <v>10000; 10000</v>
      </c>
      <c r="G53" s="13" t="str">
        <f t="shared" si="5"/>
        <v>2016; 2015</v>
      </c>
      <c r="H53" t="str">
        <f t="shared" si="6"/>
        <v>GP; SCF</v>
      </c>
    </row>
    <row r="54" spans="1:8" x14ac:dyDescent="0.25">
      <c r="A54" s="7" t="s">
        <v>102</v>
      </c>
      <c r="B54" s="7" t="s">
        <v>26</v>
      </c>
      <c r="C54" s="16">
        <v>10000</v>
      </c>
      <c r="D54" s="9">
        <v>42178</v>
      </c>
      <c r="E54" s="10">
        <f t="shared" si="8"/>
        <v>2015</v>
      </c>
      <c r="F54" s="13" t="str">
        <f t="shared" si="4"/>
        <v>10000</v>
      </c>
      <c r="G54" s="13">
        <f t="shared" si="5"/>
        <v>2015</v>
      </c>
      <c r="H54" t="str">
        <f t="shared" si="6"/>
        <v>SCF</v>
      </c>
    </row>
    <row r="55" spans="1:8" x14ac:dyDescent="0.25">
      <c r="A55" s="7" t="s">
        <v>45</v>
      </c>
      <c r="B55" s="7" t="s">
        <v>114</v>
      </c>
      <c r="C55" s="16">
        <v>15000</v>
      </c>
      <c r="D55" s="9">
        <v>42009</v>
      </c>
      <c r="E55" s="10">
        <f t="shared" si="8"/>
        <v>2015</v>
      </c>
      <c r="F55" s="13" t="str">
        <f t="shared" si="4"/>
        <v>15000</v>
      </c>
      <c r="G55" s="13">
        <f t="shared" si="5"/>
        <v>2015</v>
      </c>
      <c r="H55" t="str">
        <f t="shared" si="6"/>
        <v>G</v>
      </c>
    </row>
    <row r="56" spans="1:8" x14ac:dyDescent="0.25">
      <c r="A56" s="7" t="s">
        <v>4</v>
      </c>
      <c r="B56" s="7" t="s">
        <v>50</v>
      </c>
      <c r="C56" s="16">
        <v>10000</v>
      </c>
      <c r="D56" s="9">
        <v>42619</v>
      </c>
      <c r="E56" s="10">
        <f t="shared" si="8"/>
        <v>2016</v>
      </c>
      <c r="F56" s="13" t="str">
        <f t="shared" si="4"/>
        <v>10000</v>
      </c>
      <c r="G56" s="13">
        <f t="shared" si="5"/>
        <v>2016</v>
      </c>
      <c r="H56" t="str">
        <f t="shared" si="6"/>
        <v>CIG</v>
      </c>
    </row>
    <row r="57" spans="1:8" x14ac:dyDescent="0.25">
      <c r="A57" s="7" t="s">
        <v>24</v>
      </c>
      <c r="B57" s="7" t="s">
        <v>74</v>
      </c>
      <c r="C57" s="16">
        <v>10000</v>
      </c>
      <c r="D57" s="9">
        <v>42397</v>
      </c>
      <c r="E57" s="10">
        <f t="shared" si="8"/>
        <v>2016</v>
      </c>
      <c r="F57" s="13" t="str">
        <f t="shared" si="4"/>
        <v>10000; 10000</v>
      </c>
      <c r="G57" s="13" t="str">
        <f t="shared" si="5"/>
        <v>2016; 2015</v>
      </c>
      <c r="H57" t="str">
        <f t="shared" si="6"/>
        <v>GP; CIG</v>
      </c>
    </row>
    <row r="58" spans="1:8" x14ac:dyDescent="0.25">
      <c r="A58" s="7" t="s">
        <v>4</v>
      </c>
      <c r="B58" s="7" t="s">
        <v>74</v>
      </c>
      <c r="C58" s="16">
        <v>10000</v>
      </c>
      <c r="D58" s="9">
        <v>42244</v>
      </c>
      <c r="E58" s="10">
        <f t="shared" si="8"/>
        <v>2015</v>
      </c>
      <c r="F58" s="13" t="str">
        <f t="shared" si="4"/>
        <v>10000</v>
      </c>
      <c r="G58" s="13">
        <f t="shared" si="5"/>
        <v>2015</v>
      </c>
      <c r="H58" t="str">
        <f t="shared" si="6"/>
        <v>CIG</v>
      </c>
    </row>
    <row r="59" spans="1:8" x14ac:dyDescent="0.25">
      <c r="A59" s="7" t="s">
        <v>4</v>
      </c>
      <c r="B59" s="7" t="s">
        <v>98</v>
      </c>
      <c r="C59" s="16">
        <v>10000</v>
      </c>
      <c r="D59" s="9">
        <v>42244</v>
      </c>
      <c r="E59" s="10">
        <f t="shared" si="8"/>
        <v>2015</v>
      </c>
      <c r="F59" s="13" t="str">
        <f t="shared" si="4"/>
        <v>10000</v>
      </c>
      <c r="G59" s="13">
        <f t="shared" si="5"/>
        <v>2015</v>
      </c>
      <c r="H59" t="str">
        <f t="shared" si="6"/>
        <v>CIG</v>
      </c>
    </row>
    <row r="60" spans="1:8" x14ac:dyDescent="0.25">
      <c r="A60" s="7" t="s">
        <v>4</v>
      </c>
      <c r="B60" s="7" t="s">
        <v>51</v>
      </c>
      <c r="C60" s="16">
        <v>10000</v>
      </c>
      <c r="D60" s="9">
        <v>42619</v>
      </c>
      <c r="E60" s="10">
        <f t="shared" si="8"/>
        <v>2016</v>
      </c>
      <c r="F60" s="13" t="str">
        <f t="shared" si="4"/>
        <v>10000</v>
      </c>
      <c r="G60" s="13">
        <f t="shared" si="5"/>
        <v>2016</v>
      </c>
      <c r="H60" t="str">
        <f t="shared" si="6"/>
        <v>CIG</v>
      </c>
    </row>
    <row r="61" spans="1:8" x14ac:dyDescent="0.25">
      <c r="A61" s="7" t="s">
        <v>4</v>
      </c>
      <c r="B61" s="7" t="s">
        <v>52</v>
      </c>
      <c r="C61" s="16">
        <v>10000</v>
      </c>
      <c r="D61" s="9">
        <v>42619</v>
      </c>
      <c r="E61" s="10">
        <f t="shared" si="8"/>
        <v>2016</v>
      </c>
      <c r="F61" s="13" t="str">
        <f t="shared" si="4"/>
        <v>10000; 10000</v>
      </c>
      <c r="G61" s="13" t="str">
        <f t="shared" si="5"/>
        <v>2016; 2015</v>
      </c>
      <c r="H61" t="str">
        <f t="shared" si="6"/>
        <v>CIG; SCF</v>
      </c>
    </row>
    <row r="62" spans="1:8" x14ac:dyDescent="0.25">
      <c r="A62" s="7" t="s">
        <v>102</v>
      </c>
      <c r="B62" s="7" t="s">
        <v>52</v>
      </c>
      <c r="C62" s="16">
        <v>10000</v>
      </c>
      <c r="D62" s="9">
        <v>42178</v>
      </c>
      <c r="E62" s="10">
        <f t="shared" si="8"/>
        <v>2015</v>
      </c>
      <c r="F62" s="13" t="str">
        <f t="shared" si="4"/>
        <v>10000</v>
      </c>
      <c r="G62" s="13">
        <f t="shared" si="5"/>
        <v>2015</v>
      </c>
      <c r="H62" t="str">
        <f t="shared" si="6"/>
        <v>SCF</v>
      </c>
    </row>
    <row r="63" spans="1:8" x14ac:dyDescent="0.25">
      <c r="A63" s="7" t="s">
        <v>24</v>
      </c>
      <c r="B63" s="7" t="s">
        <v>72</v>
      </c>
      <c r="C63" s="16">
        <v>250</v>
      </c>
      <c r="D63" s="9">
        <v>42454</v>
      </c>
      <c r="E63" s="10">
        <f t="shared" si="8"/>
        <v>2016</v>
      </c>
      <c r="F63" s="13" t="str">
        <f t="shared" si="4"/>
        <v>250; 10000</v>
      </c>
      <c r="G63" s="13" t="str">
        <f t="shared" si="5"/>
        <v>2016; 2016</v>
      </c>
      <c r="H63" t="str">
        <f t="shared" si="6"/>
        <v>GP; GP</v>
      </c>
    </row>
    <row r="64" spans="1:8" x14ac:dyDescent="0.25">
      <c r="A64" s="7" t="s">
        <v>24</v>
      </c>
      <c r="B64" s="7" t="s">
        <v>72</v>
      </c>
      <c r="C64" s="16">
        <v>10000</v>
      </c>
      <c r="D64" s="9">
        <v>42397</v>
      </c>
      <c r="E64" s="10">
        <f t="shared" si="8"/>
        <v>2016</v>
      </c>
      <c r="F64" s="13" t="str">
        <f t="shared" si="4"/>
        <v>10000</v>
      </c>
      <c r="G64" s="13">
        <f t="shared" si="5"/>
        <v>2016</v>
      </c>
      <c r="H64" t="str">
        <f t="shared" si="6"/>
        <v>GP</v>
      </c>
    </row>
    <row r="65" spans="1:8" x14ac:dyDescent="0.25">
      <c r="A65" s="7" t="s">
        <v>4</v>
      </c>
      <c r="B65" s="7" t="s">
        <v>27</v>
      </c>
      <c r="C65" s="16">
        <v>10000</v>
      </c>
      <c r="D65" s="9">
        <v>42739</v>
      </c>
      <c r="E65" s="10">
        <f t="shared" si="8"/>
        <v>2017</v>
      </c>
      <c r="F65" s="13" t="str">
        <f t="shared" si="4"/>
        <v>10000; 10000</v>
      </c>
      <c r="G65" s="13" t="str">
        <f t="shared" si="5"/>
        <v>2017; 2015</v>
      </c>
      <c r="H65" t="str">
        <f t="shared" si="6"/>
        <v>CIG; CIG</v>
      </c>
    </row>
    <row r="66" spans="1:8" x14ac:dyDescent="0.25">
      <c r="A66" s="7" t="s">
        <v>4</v>
      </c>
      <c r="B66" s="7" t="s">
        <v>27</v>
      </c>
      <c r="C66" s="16">
        <v>10000</v>
      </c>
      <c r="D66" s="9">
        <v>42244</v>
      </c>
      <c r="E66" s="10">
        <f t="shared" si="8"/>
        <v>2015</v>
      </c>
      <c r="F66" s="13" t="str">
        <f t="shared" si="4"/>
        <v>10000</v>
      </c>
      <c r="G66" s="13">
        <f t="shared" si="5"/>
        <v>2015</v>
      </c>
      <c r="H66" t="str">
        <f t="shared" si="6"/>
        <v>CIG</v>
      </c>
    </row>
    <row r="67" spans="1:8" x14ac:dyDescent="0.25">
      <c r="A67" s="7" t="s">
        <v>4</v>
      </c>
      <c r="B67" s="64" t="s">
        <v>2236</v>
      </c>
      <c r="C67" s="16">
        <v>10000</v>
      </c>
      <c r="D67" s="9">
        <v>42481</v>
      </c>
      <c r="E67" s="10">
        <f t="shared" si="8"/>
        <v>2016</v>
      </c>
      <c r="F67" s="13" t="str">
        <f t="shared" si="4"/>
        <v>10000</v>
      </c>
      <c r="G67" s="13">
        <f t="shared" si="5"/>
        <v>2016</v>
      </c>
      <c r="H67" t="str">
        <f t="shared" si="6"/>
        <v>CIG</v>
      </c>
    </row>
    <row r="68" spans="1:8" x14ac:dyDescent="0.25">
      <c r="A68" s="7" t="s">
        <v>4</v>
      </c>
      <c r="B68" s="7" t="s">
        <v>28</v>
      </c>
      <c r="C68" s="16">
        <v>10000</v>
      </c>
      <c r="D68" s="9">
        <v>42739</v>
      </c>
      <c r="E68" s="10">
        <f t="shared" si="8"/>
        <v>2017</v>
      </c>
      <c r="F68" s="13" t="str">
        <f t="shared" si="4"/>
        <v>10000</v>
      </c>
      <c r="G68" s="13">
        <f t="shared" si="5"/>
        <v>2017</v>
      </c>
      <c r="H68" t="str">
        <f t="shared" si="6"/>
        <v>CIG</v>
      </c>
    </row>
    <row r="69" spans="1:8" x14ac:dyDescent="0.25">
      <c r="A69" s="7" t="s">
        <v>24</v>
      </c>
      <c r="B69" s="7" t="s">
        <v>61</v>
      </c>
      <c r="C69" s="16">
        <v>250</v>
      </c>
      <c r="D69" s="9">
        <v>42454</v>
      </c>
      <c r="E69" s="10">
        <f t="shared" si="8"/>
        <v>2016</v>
      </c>
      <c r="F69" s="13" t="str">
        <f t="shared" si="4"/>
        <v>250; 10000</v>
      </c>
      <c r="G69" s="13" t="str">
        <f t="shared" si="5"/>
        <v>2016; 2016</v>
      </c>
      <c r="H69" t="str">
        <f t="shared" si="6"/>
        <v>GP; CIG</v>
      </c>
    </row>
    <row r="70" spans="1:8" x14ac:dyDescent="0.25">
      <c r="A70" s="7" t="s">
        <v>4</v>
      </c>
      <c r="B70" s="7" t="s">
        <v>61</v>
      </c>
      <c r="C70" s="16">
        <v>10000</v>
      </c>
      <c r="D70" s="9">
        <v>42391</v>
      </c>
      <c r="E70" s="10">
        <f t="shared" si="8"/>
        <v>2016</v>
      </c>
      <c r="F70" s="13" t="str">
        <f t="shared" si="4"/>
        <v>10000</v>
      </c>
      <c r="G70" s="13">
        <f t="shared" si="5"/>
        <v>2016</v>
      </c>
      <c r="H70" t="str">
        <f t="shared" si="6"/>
        <v>CIG</v>
      </c>
    </row>
    <row r="71" spans="1:8" x14ac:dyDescent="0.25">
      <c r="A71" s="7" t="s">
        <v>4</v>
      </c>
      <c r="B71" s="7" t="s">
        <v>53</v>
      </c>
      <c r="C71" s="16">
        <v>10000</v>
      </c>
      <c r="D71" s="9">
        <v>42619</v>
      </c>
      <c r="E71" s="10">
        <f t="shared" si="8"/>
        <v>2016</v>
      </c>
      <c r="F71" s="13" t="str">
        <f t="shared" si="4"/>
        <v>10000; 10000</v>
      </c>
      <c r="G71" s="13" t="str">
        <f t="shared" si="5"/>
        <v>2016; 2016</v>
      </c>
      <c r="H71" t="str">
        <f t="shared" si="6"/>
        <v>CIG; CIG</v>
      </c>
    </row>
    <row r="72" spans="1:8" x14ac:dyDescent="0.25">
      <c r="A72" s="7" t="s">
        <v>4</v>
      </c>
      <c r="B72" s="7" t="s">
        <v>53</v>
      </c>
      <c r="C72" s="16">
        <v>10000</v>
      </c>
      <c r="D72" s="9">
        <v>42619</v>
      </c>
      <c r="E72" s="10">
        <f t="shared" si="8"/>
        <v>2016</v>
      </c>
      <c r="F72" s="13" t="str">
        <f t="shared" si="4"/>
        <v>10000</v>
      </c>
      <c r="G72" s="13">
        <f t="shared" si="5"/>
        <v>2016</v>
      </c>
      <c r="H72" t="str">
        <f t="shared" si="6"/>
        <v>CIG</v>
      </c>
    </row>
    <row r="73" spans="1:8" x14ac:dyDescent="0.25">
      <c r="A73" s="7" t="s">
        <v>4</v>
      </c>
      <c r="B73" s="7" t="s">
        <v>54</v>
      </c>
      <c r="C73" s="16">
        <v>10000</v>
      </c>
      <c r="D73" s="9">
        <v>42619</v>
      </c>
      <c r="E73" s="10">
        <f t="shared" si="8"/>
        <v>2016</v>
      </c>
      <c r="F73" s="13" t="str">
        <f t="shared" si="4"/>
        <v>10000; 10000</v>
      </c>
      <c r="G73" s="13" t="str">
        <f t="shared" si="5"/>
        <v>2016; 2015</v>
      </c>
      <c r="H73" t="str">
        <f t="shared" si="6"/>
        <v>CIG; CIG</v>
      </c>
    </row>
    <row r="74" spans="1:8" x14ac:dyDescent="0.25">
      <c r="A74" s="7" t="s">
        <v>4</v>
      </c>
      <c r="B74" s="7" t="s">
        <v>54</v>
      </c>
      <c r="C74" s="16">
        <v>10000</v>
      </c>
      <c r="D74" s="9">
        <v>42123</v>
      </c>
      <c r="E74" s="10">
        <f t="shared" si="8"/>
        <v>2015</v>
      </c>
      <c r="F74" s="13" t="str">
        <f t="shared" si="4"/>
        <v>10000</v>
      </c>
      <c r="G74" s="13">
        <f t="shared" si="5"/>
        <v>2015</v>
      </c>
      <c r="H74" t="str">
        <f t="shared" si="6"/>
        <v>CIG</v>
      </c>
    </row>
    <row r="75" spans="1:8" x14ac:dyDescent="0.25">
      <c r="A75" s="7" t="s">
        <v>4</v>
      </c>
      <c r="B75" s="7" t="s">
        <v>29</v>
      </c>
      <c r="C75" s="16">
        <v>10000</v>
      </c>
      <c r="D75" s="9">
        <v>42739</v>
      </c>
      <c r="E75" s="10">
        <f t="shared" si="8"/>
        <v>2017</v>
      </c>
      <c r="F75" s="13" t="str">
        <f t="shared" si="4"/>
        <v>10000</v>
      </c>
      <c r="G75" s="13">
        <f t="shared" si="5"/>
        <v>2017</v>
      </c>
      <c r="H75" t="str">
        <f t="shared" si="6"/>
        <v>CIG</v>
      </c>
    </row>
    <row r="76" spans="1:8" x14ac:dyDescent="0.25">
      <c r="A76" s="7" t="s">
        <v>4</v>
      </c>
      <c r="B76" s="7" t="s">
        <v>55</v>
      </c>
      <c r="C76" s="16">
        <v>10000</v>
      </c>
      <c r="D76" s="9">
        <v>42619</v>
      </c>
      <c r="E76" s="10">
        <f t="shared" ref="E76:E96" si="9">YEAR(D76)</f>
        <v>2016</v>
      </c>
      <c r="F76" s="13" t="str">
        <f t="shared" si="4"/>
        <v>10000</v>
      </c>
      <c r="G76" s="13">
        <f t="shared" si="5"/>
        <v>2016</v>
      </c>
      <c r="H76" t="str">
        <f t="shared" si="6"/>
        <v>CIG</v>
      </c>
    </row>
    <row r="77" spans="1:8" x14ac:dyDescent="0.25">
      <c r="A77" s="7" t="s">
        <v>4</v>
      </c>
      <c r="B77" s="7" t="s">
        <v>65</v>
      </c>
      <c r="C77" s="16">
        <v>10000</v>
      </c>
      <c r="D77" s="9">
        <v>42481</v>
      </c>
      <c r="E77" s="10">
        <f t="shared" si="9"/>
        <v>2016</v>
      </c>
      <c r="F77" s="13" t="str">
        <f t="shared" si="4"/>
        <v>10000</v>
      </c>
      <c r="G77" s="13">
        <f t="shared" si="5"/>
        <v>2016</v>
      </c>
      <c r="H77" t="str">
        <f t="shared" si="6"/>
        <v>CIG</v>
      </c>
    </row>
    <row r="78" spans="1:8" x14ac:dyDescent="0.25">
      <c r="A78" s="7" t="s">
        <v>102</v>
      </c>
      <c r="B78" s="7" t="s">
        <v>103</v>
      </c>
      <c r="C78" s="16">
        <v>10000</v>
      </c>
      <c r="D78" s="9">
        <v>42178</v>
      </c>
      <c r="E78" s="10">
        <f t="shared" si="9"/>
        <v>2015</v>
      </c>
      <c r="F78" s="13" t="str">
        <f t="shared" si="4"/>
        <v>10000</v>
      </c>
      <c r="G78" s="13">
        <f t="shared" si="5"/>
        <v>2015</v>
      </c>
      <c r="H78" t="str">
        <f t="shared" si="6"/>
        <v>SCF</v>
      </c>
    </row>
    <row r="79" spans="1:8" x14ac:dyDescent="0.25">
      <c r="A79" s="7" t="s">
        <v>4</v>
      </c>
      <c r="B79" s="7" t="s">
        <v>66</v>
      </c>
      <c r="C79" s="16">
        <v>10000</v>
      </c>
      <c r="D79" s="9">
        <v>42481</v>
      </c>
      <c r="E79" s="10">
        <f t="shared" si="9"/>
        <v>2016</v>
      </c>
      <c r="F79" s="13" t="str">
        <f t="shared" si="4"/>
        <v>10000</v>
      </c>
      <c r="G79" s="13">
        <f t="shared" si="5"/>
        <v>2016</v>
      </c>
      <c r="H79" t="str">
        <f t="shared" si="6"/>
        <v>CIG</v>
      </c>
    </row>
    <row r="80" spans="1:8" x14ac:dyDescent="0.25">
      <c r="A80" s="7" t="s">
        <v>4</v>
      </c>
      <c r="B80" s="7" t="s">
        <v>30</v>
      </c>
      <c r="C80" s="16">
        <v>10000</v>
      </c>
      <c r="D80" s="9">
        <v>42739</v>
      </c>
      <c r="E80" s="10">
        <f t="shared" si="9"/>
        <v>2017</v>
      </c>
      <c r="F80" s="13" t="str">
        <f t="shared" ref="F80:F137" si="10">_xlfn.CONCAT($C80,IF($B80=$B81,_xlfn.CONCAT("; ",$F81),""))</f>
        <v>10000</v>
      </c>
      <c r="G80" s="13">
        <f t="shared" ref="G80:G137" si="11">IF(B80=B81, _xlfn.CONCAT(E80,"; ",G81),E80)</f>
        <v>2017</v>
      </c>
      <c r="H80" t="str">
        <f t="shared" ref="H80:H137" si="12">_xlfn.CONCAT(A80, IF(B80=B81,_xlfn.CONCAT("; ", H81), ""))</f>
        <v>CIG</v>
      </c>
    </row>
    <row r="81" spans="1:8" x14ac:dyDescent="0.25">
      <c r="A81" s="7" t="s">
        <v>4</v>
      </c>
      <c r="B81" s="7" t="s">
        <v>71</v>
      </c>
      <c r="C81" s="16">
        <v>10000</v>
      </c>
      <c r="D81" s="9">
        <v>42481</v>
      </c>
      <c r="E81" s="10">
        <f t="shared" si="9"/>
        <v>2016</v>
      </c>
      <c r="F81" s="13" t="str">
        <f t="shared" si="10"/>
        <v>10000</v>
      </c>
      <c r="G81" s="13">
        <f t="shared" si="11"/>
        <v>2016</v>
      </c>
      <c r="H81" t="str">
        <f t="shared" si="12"/>
        <v>CIG</v>
      </c>
    </row>
    <row r="82" spans="1:8" x14ac:dyDescent="0.25">
      <c r="A82" s="7" t="s">
        <v>4</v>
      </c>
      <c r="B82" s="7" t="s">
        <v>22</v>
      </c>
      <c r="C82" s="16">
        <v>10000</v>
      </c>
      <c r="D82" s="9">
        <v>42864</v>
      </c>
      <c r="E82" s="10">
        <f t="shared" si="9"/>
        <v>2017</v>
      </c>
      <c r="F82" s="13" t="str">
        <f t="shared" si="10"/>
        <v>10000</v>
      </c>
      <c r="G82" s="13">
        <f t="shared" si="11"/>
        <v>2017</v>
      </c>
      <c r="H82" t="str">
        <f t="shared" si="12"/>
        <v>CIG</v>
      </c>
    </row>
    <row r="83" spans="1:8" x14ac:dyDescent="0.25">
      <c r="A83" s="7" t="s">
        <v>102</v>
      </c>
      <c r="B83" s="7" t="s">
        <v>104</v>
      </c>
      <c r="C83" s="16">
        <v>10000</v>
      </c>
      <c r="D83" s="9">
        <v>42178</v>
      </c>
      <c r="E83" s="10">
        <f t="shared" si="9"/>
        <v>2015</v>
      </c>
      <c r="F83" s="13" t="str">
        <f t="shared" si="10"/>
        <v>10000; 10000</v>
      </c>
      <c r="G83" s="13" t="str">
        <f t="shared" si="11"/>
        <v>2015; 2015</v>
      </c>
      <c r="H83" t="str">
        <f t="shared" si="12"/>
        <v>SCF; SCF</v>
      </c>
    </row>
    <row r="84" spans="1:8" x14ac:dyDescent="0.25">
      <c r="A84" s="7" t="s">
        <v>102</v>
      </c>
      <c r="B84" s="7" t="s">
        <v>104</v>
      </c>
      <c r="C84" s="16">
        <v>10000</v>
      </c>
      <c r="D84" s="9">
        <v>42178</v>
      </c>
      <c r="E84" s="10">
        <f t="shared" si="9"/>
        <v>2015</v>
      </c>
      <c r="F84" s="13" t="str">
        <f t="shared" si="10"/>
        <v>10000</v>
      </c>
      <c r="G84" s="13">
        <f t="shared" si="11"/>
        <v>2015</v>
      </c>
      <c r="H84" t="str">
        <f t="shared" si="12"/>
        <v>SCF</v>
      </c>
    </row>
    <row r="85" spans="1:8" x14ac:dyDescent="0.25">
      <c r="A85" s="7" t="s">
        <v>4</v>
      </c>
      <c r="B85" s="7" t="s">
        <v>111</v>
      </c>
      <c r="C85" s="16">
        <v>10000</v>
      </c>
      <c r="D85" s="9">
        <v>42123</v>
      </c>
      <c r="E85" s="10">
        <f t="shared" si="9"/>
        <v>2015</v>
      </c>
      <c r="F85" s="13" t="str">
        <f t="shared" si="10"/>
        <v>10000; 10000</v>
      </c>
      <c r="G85" s="13" t="str">
        <f t="shared" si="11"/>
        <v>2015; 2015</v>
      </c>
      <c r="H85" t="str">
        <f t="shared" si="12"/>
        <v>CIG; CIG</v>
      </c>
    </row>
    <row r="86" spans="1:8" x14ac:dyDescent="0.25">
      <c r="A86" s="7" t="s">
        <v>4</v>
      </c>
      <c r="B86" s="7" t="s">
        <v>111</v>
      </c>
      <c r="C86" s="16">
        <v>10000</v>
      </c>
      <c r="D86" s="9">
        <v>42123</v>
      </c>
      <c r="E86" s="10">
        <f t="shared" si="9"/>
        <v>2015</v>
      </c>
      <c r="F86" s="13" t="str">
        <f t="shared" si="10"/>
        <v>10000</v>
      </c>
      <c r="G86" s="13">
        <f t="shared" si="11"/>
        <v>2015</v>
      </c>
      <c r="H86" t="str">
        <f t="shared" si="12"/>
        <v>CIG</v>
      </c>
    </row>
    <row r="87" spans="1:8" x14ac:dyDescent="0.25">
      <c r="A87" s="7" t="s">
        <v>4</v>
      </c>
      <c r="B87" s="7" t="s">
        <v>82</v>
      </c>
      <c r="C87" s="16">
        <v>10000</v>
      </c>
      <c r="D87" s="9">
        <v>42391</v>
      </c>
      <c r="E87" s="10">
        <f t="shared" si="9"/>
        <v>2016</v>
      </c>
      <c r="F87" s="13" t="str">
        <f t="shared" si="10"/>
        <v>10000</v>
      </c>
      <c r="G87" s="13">
        <f t="shared" si="11"/>
        <v>2016</v>
      </c>
      <c r="H87" t="str">
        <f t="shared" si="12"/>
        <v>CIG</v>
      </c>
    </row>
    <row r="88" spans="1:8" x14ac:dyDescent="0.25">
      <c r="A88" s="7" t="s">
        <v>4</v>
      </c>
      <c r="B88" s="7" t="s">
        <v>99</v>
      </c>
      <c r="C88" s="16">
        <v>10000</v>
      </c>
      <c r="D88" s="9">
        <v>42244</v>
      </c>
      <c r="E88" s="10">
        <f t="shared" si="9"/>
        <v>2015</v>
      </c>
      <c r="F88" s="13" t="str">
        <f t="shared" ref="F88" si="13">_xlfn.CONCAT($C88,IF($B88=$B89,_xlfn.CONCAT("; ",$F89),""))</f>
        <v>10000</v>
      </c>
      <c r="G88" s="13">
        <f t="shared" ref="G88" si="14">IF(B88=B89, _xlfn.CONCAT(E88,"; ",G89),E88)</f>
        <v>2015</v>
      </c>
      <c r="H88" t="str">
        <f t="shared" ref="H88" si="15">_xlfn.CONCAT(A88, IF(B88=B89,_xlfn.CONCAT("; ", H89), ""))</f>
        <v>CIG</v>
      </c>
    </row>
    <row r="89" spans="1:8" x14ac:dyDescent="0.25">
      <c r="A89" s="7" t="s">
        <v>4</v>
      </c>
      <c r="B89" s="7" t="s">
        <v>79</v>
      </c>
      <c r="C89" s="16">
        <v>10000</v>
      </c>
      <c r="D89" s="9">
        <v>42391</v>
      </c>
      <c r="E89" s="10">
        <f t="shared" si="9"/>
        <v>2016</v>
      </c>
      <c r="F89" s="13" t="str">
        <f t="shared" si="10"/>
        <v>10000</v>
      </c>
      <c r="G89" s="13">
        <f t="shared" si="11"/>
        <v>2016</v>
      </c>
      <c r="H89" t="str">
        <f t="shared" si="12"/>
        <v>CIG</v>
      </c>
    </row>
    <row r="90" spans="1:8" x14ac:dyDescent="0.25">
      <c r="A90" s="7" t="s">
        <v>4</v>
      </c>
      <c r="B90" s="7" t="s">
        <v>100</v>
      </c>
      <c r="C90" s="16">
        <v>10000</v>
      </c>
      <c r="D90" s="9">
        <v>42244</v>
      </c>
      <c r="E90" s="10">
        <f t="shared" si="9"/>
        <v>2015</v>
      </c>
      <c r="F90" s="13" t="str">
        <f t="shared" si="10"/>
        <v>10000</v>
      </c>
      <c r="G90" s="13">
        <f t="shared" si="11"/>
        <v>2015</v>
      </c>
      <c r="H90" t="str">
        <f t="shared" si="12"/>
        <v>CIG</v>
      </c>
    </row>
    <row r="91" spans="1:8" x14ac:dyDescent="0.25">
      <c r="A91" s="7" t="s">
        <v>41</v>
      </c>
      <c r="B91" s="7" t="s">
        <v>43</v>
      </c>
      <c r="C91" s="16">
        <v>10000</v>
      </c>
      <c r="D91" s="9">
        <v>42733</v>
      </c>
      <c r="E91" s="10">
        <f t="shared" si="9"/>
        <v>2016</v>
      </c>
      <c r="F91" s="13" t="str">
        <f t="shared" ref="F91" si="16">_xlfn.CONCAT($C91,IF($B91=$B92,_xlfn.CONCAT("; ",$F92),""))</f>
        <v>10000</v>
      </c>
      <c r="G91" s="13">
        <f t="shared" ref="G91" si="17">IF(B91=B92, _xlfn.CONCAT(E91,"; ",G92),E91)</f>
        <v>2016</v>
      </c>
      <c r="H91" t="str">
        <f t="shared" ref="H91" si="18">_xlfn.CONCAT(A91, IF(B91=B92,_xlfn.CONCAT("; ", H92), ""))</f>
        <v>FSC</v>
      </c>
    </row>
    <row r="92" spans="1:8" x14ac:dyDescent="0.25">
      <c r="A92" s="7" t="s">
        <v>41</v>
      </c>
      <c r="B92" s="7" t="s">
        <v>76</v>
      </c>
      <c r="C92" s="16">
        <v>10000</v>
      </c>
      <c r="D92" s="9">
        <v>42402</v>
      </c>
      <c r="E92" s="10">
        <f t="shared" si="9"/>
        <v>2016</v>
      </c>
      <c r="F92" s="13" t="str">
        <f t="shared" si="10"/>
        <v>10000</v>
      </c>
      <c r="G92" s="13">
        <f t="shared" si="11"/>
        <v>2016</v>
      </c>
      <c r="H92" t="str">
        <f t="shared" si="12"/>
        <v>FSC</v>
      </c>
    </row>
    <row r="93" spans="1:8" x14ac:dyDescent="0.25">
      <c r="A93" s="7" t="s">
        <v>102</v>
      </c>
      <c r="B93" s="7" t="s">
        <v>105</v>
      </c>
      <c r="C93" s="16">
        <v>10000</v>
      </c>
      <c r="D93" s="9">
        <v>42178</v>
      </c>
      <c r="E93" s="10">
        <f t="shared" si="9"/>
        <v>2015</v>
      </c>
      <c r="F93" s="13" t="str">
        <f t="shared" si="10"/>
        <v>10000</v>
      </c>
      <c r="G93" s="13">
        <f t="shared" si="11"/>
        <v>2015</v>
      </c>
      <c r="H93" t="str">
        <f t="shared" si="12"/>
        <v>SCF</v>
      </c>
    </row>
    <row r="94" spans="1:8" x14ac:dyDescent="0.25">
      <c r="A94" s="7" t="s">
        <v>4</v>
      </c>
      <c r="B94" s="7" t="s">
        <v>6</v>
      </c>
      <c r="C94" s="16">
        <v>10000</v>
      </c>
      <c r="D94" s="9">
        <v>42864</v>
      </c>
      <c r="E94" s="10">
        <f t="shared" si="9"/>
        <v>2017</v>
      </c>
      <c r="F94" s="13" t="str">
        <f t="shared" si="10"/>
        <v>10000; 9451.13; 10000</v>
      </c>
      <c r="G94" s="13" t="str">
        <f t="shared" si="11"/>
        <v>2017; 2016; 2016</v>
      </c>
      <c r="H94" t="str">
        <f t="shared" si="12"/>
        <v>CIG; EFBL; GP</v>
      </c>
    </row>
    <row r="95" spans="1:8" x14ac:dyDescent="0.25">
      <c r="A95" s="7" t="s">
        <v>2027</v>
      </c>
      <c r="B95" s="7" t="s">
        <v>6</v>
      </c>
      <c r="C95" s="16">
        <v>9451.1299999999992</v>
      </c>
      <c r="D95" s="9">
        <v>42476</v>
      </c>
      <c r="E95" s="10">
        <f t="shared" si="9"/>
        <v>2016</v>
      </c>
      <c r="F95" s="13" t="str">
        <f t="shared" si="10"/>
        <v>9451.13; 10000</v>
      </c>
      <c r="G95" s="13" t="str">
        <f t="shared" si="11"/>
        <v>2016; 2016</v>
      </c>
      <c r="H95" t="str">
        <f t="shared" si="12"/>
        <v>EFBL; GP</v>
      </c>
    </row>
    <row r="96" spans="1:8" x14ac:dyDescent="0.25">
      <c r="A96" s="7" t="s">
        <v>24</v>
      </c>
      <c r="B96" s="7" t="s">
        <v>6</v>
      </c>
      <c r="C96" s="16">
        <v>10000</v>
      </c>
      <c r="D96" s="9">
        <v>42397</v>
      </c>
      <c r="E96" s="10">
        <f t="shared" si="9"/>
        <v>2016</v>
      </c>
      <c r="F96" s="13" t="str">
        <f t="shared" si="10"/>
        <v>10000</v>
      </c>
      <c r="G96" s="13">
        <f t="shared" si="11"/>
        <v>2016</v>
      </c>
      <c r="H96" t="str">
        <f t="shared" si="12"/>
        <v>GP</v>
      </c>
    </row>
    <row r="97" spans="1:8" x14ac:dyDescent="0.25">
      <c r="A97" s="7" t="s">
        <v>4</v>
      </c>
      <c r="B97" s="7" t="s">
        <v>31</v>
      </c>
      <c r="C97" s="16">
        <v>10000</v>
      </c>
      <c r="D97" s="9">
        <v>42739</v>
      </c>
      <c r="E97" s="10">
        <f t="shared" ref="E97:E123" si="19">YEAR(D97)</f>
        <v>2017</v>
      </c>
      <c r="F97" s="13" t="str">
        <f t="shared" si="10"/>
        <v>10000; 10000; 10000</v>
      </c>
      <c r="G97" s="13" t="str">
        <f t="shared" si="11"/>
        <v>2017; 2015; 2015</v>
      </c>
      <c r="H97" t="str">
        <f t="shared" si="12"/>
        <v>CIG; SCF; CIG</v>
      </c>
    </row>
    <row r="98" spans="1:8" x14ac:dyDescent="0.25">
      <c r="A98" s="7" t="s">
        <v>102</v>
      </c>
      <c r="B98" s="7" t="s">
        <v>31</v>
      </c>
      <c r="C98" s="16">
        <v>10000</v>
      </c>
      <c r="D98" s="9">
        <v>42178</v>
      </c>
      <c r="E98" s="10">
        <f t="shared" si="19"/>
        <v>2015</v>
      </c>
      <c r="F98" s="13" t="str">
        <f t="shared" si="10"/>
        <v>10000; 10000</v>
      </c>
      <c r="G98" s="13" t="str">
        <f t="shared" si="11"/>
        <v>2015; 2015</v>
      </c>
      <c r="H98" t="str">
        <f t="shared" si="12"/>
        <v>SCF; CIG</v>
      </c>
    </row>
    <row r="99" spans="1:8" x14ac:dyDescent="0.25">
      <c r="A99" s="7" t="s">
        <v>4</v>
      </c>
      <c r="B99" s="7" t="s">
        <v>31</v>
      </c>
      <c r="C99" s="16">
        <v>10000</v>
      </c>
      <c r="D99" s="9">
        <v>42123</v>
      </c>
      <c r="E99" s="10">
        <f t="shared" si="19"/>
        <v>2015</v>
      </c>
      <c r="F99" s="13" t="str">
        <f t="shared" si="10"/>
        <v>10000</v>
      </c>
      <c r="G99" s="13">
        <f t="shared" si="11"/>
        <v>2015</v>
      </c>
      <c r="H99" t="str">
        <f t="shared" si="12"/>
        <v>CIG</v>
      </c>
    </row>
    <row r="100" spans="1:8" x14ac:dyDescent="0.25">
      <c r="A100" s="7" t="s">
        <v>4</v>
      </c>
      <c r="B100" s="7" t="s">
        <v>2178</v>
      </c>
      <c r="C100" s="16">
        <v>10000</v>
      </c>
      <c r="D100" s="9">
        <v>42864</v>
      </c>
      <c r="E100" s="10">
        <f t="shared" si="19"/>
        <v>2017</v>
      </c>
      <c r="F100" s="13" t="str">
        <f t="shared" si="10"/>
        <v>10000</v>
      </c>
      <c r="G100" s="13">
        <f t="shared" si="11"/>
        <v>2017</v>
      </c>
      <c r="H100" t="str">
        <f t="shared" si="12"/>
        <v>CIG</v>
      </c>
    </row>
    <row r="101" spans="1:8" x14ac:dyDescent="0.25">
      <c r="A101" s="7" t="s">
        <v>41</v>
      </c>
      <c r="B101" s="7" t="s">
        <v>75</v>
      </c>
      <c r="C101" s="16">
        <v>5000</v>
      </c>
      <c r="D101" s="9">
        <v>42409</v>
      </c>
      <c r="E101" s="10">
        <f t="shared" si="19"/>
        <v>2016</v>
      </c>
      <c r="F101" s="13" t="str">
        <f t="shared" si="10"/>
        <v>5000</v>
      </c>
      <c r="G101" s="13">
        <f t="shared" si="11"/>
        <v>2016</v>
      </c>
      <c r="H101" t="str">
        <f t="shared" si="12"/>
        <v>FSC</v>
      </c>
    </row>
    <row r="102" spans="1:8" x14ac:dyDescent="0.25">
      <c r="A102" s="7" t="s">
        <v>4</v>
      </c>
      <c r="B102" s="7" t="s">
        <v>834</v>
      </c>
      <c r="C102" s="16">
        <v>7500</v>
      </c>
      <c r="D102" s="9">
        <v>42619</v>
      </c>
      <c r="E102" s="10">
        <f t="shared" si="19"/>
        <v>2016</v>
      </c>
      <c r="F102" s="13" t="str">
        <f t="shared" si="10"/>
        <v>7500</v>
      </c>
      <c r="G102" s="13">
        <f t="shared" si="11"/>
        <v>2016</v>
      </c>
      <c r="H102" t="str">
        <f t="shared" si="12"/>
        <v>CIG</v>
      </c>
    </row>
    <row r="103" spans="1:8" x14ac:dyDescent="0.25">
      <c r="A103" s="7" t="s">
        <v>4</v>
      </c>
      <c r="B103" s="7" t="s">
        <v>67</v>
      </c>
      <c r="C103" s="16">
        <v>9864</v>
      </c>
      <c r="D103" s="9">
        <v>42481</v>
      </c>
      <c r="E103" s="10">
        <f t="shared" si="19"/>
        <v>2016</v>
      </c>
      <c r="F103" s="13" t="str">
        <f t="shared" si="10"/>
        <v>9864</v>
      </c>
      <c r="G103" s="13">
        <f t="shared" si="11"/>
        <v>2016</v>
      </c>
      <c r="H103" t="str">
        <f t="shared" si="12"/>
        <v>CIG</v>
      </c>
    </row>
    <row r="104" spans="1:8" x14ac:dyDescent="0.25">
      <c r="A104" s="7" t="s">
        <v>4</v>
      </c>
      <c r="B104" s="7" t="s">
        <v>101</v>
      </c>
      <c r="C104" s="16">
        <v>10000</v>
      </c>
      <c r="D104" s="9">
        <v>42244</v>
      </c>
      <c r="E104" s="10">
        <f t="shared" si="19"/>
        <v>2015</v>
      </c>
      <c r="F104" s="13" t="str">
        <f t="shared" si="10"/>
        <v>10000</v>
      </c>
      <c r="G104" s="13">
        <f t="shared" si="11"/>
        <v>2015</v>
      </c>
      <c r="H104" t="str">
        <f t="shared" si="12"/>
        <v>CIG</v>
      </c>
    </row>
    <row r="105" spans="1:8" x14ac:dyDescent="0.25">
      <c r="A105" s="7" t="s">
        <v>4</v>
      </c>
      <c r="B105" s="7" t="s">
        <v>77</v>
      </c>
      <c r="C105" s="16">
        <v>10000</v>
      </c>
      <c r="D105" s="9">
        <v>42391</v>
      </c>
      <c r="E105" s="10">
        <f t="shared" si="19"/>
        <v>2016</v>
      </c>
      <c r="F105" s="13" t="str">
        <f t="shared" si="10"/>
        <v>10000</v>
      </c>
      <c r="G105" s="13">
        <f t="shared" si="11"/>
        <v>2016</v>
      </c>
      <c r="H105" t="str">
        <f t="shared" si="12"/>
        <v>CIG</v>
      </c>
    </row>
    <row r="106" spans="1:8" x14ac:dyDescent="0.25">
      <c r="A106" s="7" t="s">
        <v>4</v>
      </c>
      <c r="B106" s="7" t="s">
        <v>57</v>
      </c>
      <c r="C106" s="16">
        <v>10000</v>
      </c>
      <c r="D106" s="9">
        <v>42619</v>
      </c>
      <c r="E106" s="10">
        <f t="shared" si="19"/>
        <v>2016</v>
      </c>
      <c r="F106" s="13" t="str">
        <f t="shared" si="10"/>
        <v>10000</v>
      </c>
      <c r="G106" s="13">
        <f t="shared" si="11"/>
        <v>2016</v>
      </c>
      <c r="H106" t="str">
        <f t="shared" si="12"/>
        <v>CIG</v>
      </c>
    </row>
    <row r="107" spans="1:8" x14ac:dyDescent="0.25">
      <c r="A107" s="7" t="s">
        <v>4</v>
      </c>
      <c r="B107" s="7" t="s">
        <v>91</v>
      </c>
      <c r="C107" s="16">
        <v>7940</v>
      </c>
      <c r="D107" s="9">
        <v>42244</v>
      </c>
      <c r="E107" s="10">
        <f t="shared" si="19"/>
        <v>2015</v>
      </c>
      <c r="F107" s="13" t="str">
        <f t="shared" si="10"/>
        <v>7940</v>
      </c>
      <c r="G107" s="13">
        <f t="shared" si="11"/>
        <v>2015</v>
      </c>
      <c r="H107" t="str">
        <f t="shared" si="12"/>
        <v>CIG</v>
      </c>
    </row>
    <row r="108" spans="1:8" x14ac:dyDescent="0.25">
      <c r="A108" s="7" t="s">
        <v>4</v>
      </c>
      <c r="B108" s="7" t="s">
        <v>68</v>
      </c>
      <c r="C108" s="16">
        <v>10000</v>
      </c>
      <c r="D108" s="9">
        <v>42481</v>
      </c>
      <c r="E108" s="10">
        <f t="shared" si="19"/>
        <v>2016</v>
      </c>
      <c r="F108" s="13" t="str">
        <f t="shared" si="10"/>
        <v>10000</v>
      </c>
      <c r="G108" s="13">
        <f t="shared" si="11"/>
        <v>2016</v>
      </c>
      <c r="H108" t="str">
        <f t="shared" si="12"/>
        <v>CIG</v>
      </c>
    </row>
    <row r="109" spans="1:8" x14ac:dyDescent="0.25">
      <c r="A109" s="7" t="s">
        <v>24</v>
      </c>
      <c r="B109" s="7" t="s">
        <v>81</v>
      </c>
      <c r="C109" s="16">
        <v>250</v>
      </c>
      <c r="D109" s="9">
        <v>42261</v>
      </c>
      <c r="E109" s="10">
        <f t="shared" si="19"/>
        <v>2015</v>
      </c>
      <c r="F109" s="13" t="str">
        <f t="shared" si="10"/>
        <v>250; 10000</v>
      </c>
      <c r="G109" s="13" t="str">
        <f t="shared" si="11"/>
        <v>2015; 2015</v>
      </c>
      <c r="H109" t="str">
        <f t="shared" si="12"/>
        <v>GP; SCF</v>
      </c>
    </row>
    <row r="110" spans="1:8" x14ac:dyDescent="0.25">
      <c r="A110" s="7" t="s">
        <v>102</v>
      </c>
      <c r="B110" s="7" t="s">
        <v>81</v>
      </c>
      <c r="C110" s="16">
        <v>10000</v>
      </c>
      <c r="D110" s="9">
        <v>42178</v>
      </c>
      <c r="E110" s="10">
        <f t="shared" si="19"/>
        <v>2015</v>
      </c>
      <c r="F110" s="13" t="str">
        <f t="shared" si="10"/>
        <v>10000</v>
      </c>
      <c r="G110" s="13">
        <f t="shared" si="11"/>
        <v>2015</v>
      </c>
      <c r="H110" t="str">
        <f t="shared" si="12"/>
        <v>SCF</v>
      </c>
    </row>
    <row r="111" spans="1:8" x14ac:dyDescent="0.25">
      <c r="A111" s="7" t="s">
        <v>4</v>
      </c>
      <c r="B111" s="7" t="s">
        <v>8</v>
      </c>
      <c r="C111" s="16">
        <v>10000</v>
      </c>
      <c r="D111" s="9">
        <v>42864</v>
      </c>
      <c r="E111" s="10">
        <f t="shared" si="19"/>
        <v>2017</v>
      </c>
      <c r="F111" s="13" t="str">
        <f t="shared" si="10"/>
        <v>10000</v>
      </c>
      <c r="G111" s="13">
        <f t="shared" si="11"/>
        <v>2017</v>
      </c>
      <c r="H111" t="str">
        <f t="shared" si="12"/>
        <v>CIG</v>
      </c>
    </row>
    <row r="112" spans="1:8" x14ac:dyDescent="0.25">
      <c r="A112" s="7" t="s">
        <v>4</v>
      </c>
      <c r="B112" s="7" t="s">
        <v>58</v>
      </c>
      <c r="C112" s="16">
        <v>9000</v>
      </c>
      <c r="D112" s="9">
        <v>42619</v>
      </c>
      <c r="E112" s="10">
        <f t="shared" si="19"/>
        <v>2016</v>
      </c>
      <c r="F112" s="13" t="str">
        <f t="shared" si="10"/>
        <v>9000</v>
      </c>
      <c r="G112" s="13">
        <f t="shared" si="11"/>
        <v>2016</v>
      </c>
      <c r="H112" t="str">
        <f t="shared" si="12"/>
        <v>CIG</v>
      </c>
    </row>
    <row r="113" spans="1:8" x14ac:dyDescent="0.25">
      <c r="A113" s="7" t="s">
        <v>4</v>
      </c>
      <c r="B113" s="7" t="s">
        <v>20</v>
      </c>
      <c r="C113" s="16">
        <v>10000</v>
      </c>
      <c r="D113" s="9">
        <v>42864</v>
      </c>
      <c r="E113" s="10">
        <f t="shared" si="19"/>
        <v>2017</v>
      </c>
      <c r="F113" s="13" t="str">
        <f t="shared" si="10"/>
        <v>10000</v>
      </c>
      <c r="G113" s="13">
        <f t="shared" si="11"/>
        <v>2017</v>
      </c>
      <c r="H113" t="str">
        <f t="shared" si="12"/>
        <v>CIG</v>
      </c>
    </row>
    <row r="114" spans="1:8" x14ac:dyDescent="0.25">
      <c r="A114" s="7" t="s">
        <v>4</v>
      </c>
      <c r="B114" s="7" t="s">
        <v>112</v>
      </c>
      <c r="C114" s="16">
        <v>10000</v>
      </c>
      <c r="D114" s="9">
        <v>42123</v>
      </c>
      <c r="E114" s="10">
        <f t="shared" si="19"/>
        <v>2015</v>
      </c>
      <c r="F114" s="13" t="str">
        <f t="shared" si="10"/>
        <v>10000</v>
      </c>
      <c r="G114" s="13">
        <f t="shared" si="11"/>
        <v>2015</v>
      </c>
      <c r="H114" t="str">
        <f t="shared" si="12"/>
        <v>CIG</v>
      </c>
    </row>
    <row r="115" spans="1:8" x14ac:dyDescent="0.25">
      <c r="A115" s="7" t="s">
        <v>4</v>
      </c>
      <c r="B115" s="7" t="s">
        <v>86</v>
      </c>
      <c r="C115" s="16">
        <v>10000</v>
      </c>
      <c r="D115" s="9">
        <v>42391</v>
      </c>
      <c r="E115" s="10">
        <f t="shared" si="19"/>
        <v>2016</v>
      </c>
      <c r="F115" s="13" t="str">
        <f t="shared" si="10"/>
        <v>10000</v>
      </c>
      <c r="G115" s="13">
        <f t="shared" si="11"/>
        <v>2016</v>
      </c>
      <c r="H115" t="str">
        <f t="shared" si="12"/>
        <v>CIG</v>
      </c>
    </row>
    <row r="116" spans="1:8" x14ac:dyDescent="0.25">
      <c r="A116" s="7" t="s">
        <v>4</v>
      </c>
      <c r="B116" s="7" t="s">
        <v>59</v>
      </c>
      <c r="C116" s="16">
        <v>10000</v>
      </c>
      <c r="D116" s="9">
        <v>42619</v>
      </c>
      <c r="E116" s="10">
        <f t="shared" si="19"/>
        <v>2016</v>
      </c>
      <c r="F116" s="13" t="str">
        <f t="shared" si="10"/>
        <v>10000; 10000</v>
      </c>
      <c r="G116" s="13" t="str">
        <f t="shared" si="11"/>
        <v>2016; 2015</v>
      </c>
      <c r="H116" t="str">
        <f t="shared" si="12"/>
        <v>CIG; CIG</v>
      </c>
    </row>
    <row r="117" spans="1:8" x14ac:dyDescent="0.25">
      <c r="A117" s="7" t="s">
        <v>4</v>
      </c>
      <c r="B117" s="7" t="s">
        <v>59</v>
      </c>
      <c r="C117" s="16">
        <v>10000</v>
      </c>
      <c r="D117" s="9">
        <v>42244</v>
      </c>
      <c r="E117" s="10">
        <f t="shared" si="19"/>
        <v>2015</v>
      </c>
      <c r="F117" s="13" t="str">
        <f t="shared" si="10"/>
        <v>10000</v>
      </c>
      <c r="G117" s="13">
        <f t="shared" si="11"/>
        <v>2015</v>
      </c>
      <c r="H117" t="str">
        <f t="shared" si="12"/>
        <v>CIG</v>
      </c>
    </row>
    <row r="118" spans="1:8" x14ac:dyDescent="0.25">
      <c r="A118" s="7" t="s">
        <v>4</v>
      </c>
      <c r="B118" s="7" t="s">
        <v>69</v>
      </c>
      <c r="C118" s="16">
        <v>10000</v>
      </c>
      <c r="D118" s="9">
        <v>42481</v>
      </c>
      <c r="E118" s="10">
        <f t="shared" si="19"/>
        <v>2016</v>
      </c>
      <c r="F118" s="13" t="str">
        <f t="shared" si="10"/>
        <v>10000</v>
      </c>
      <c r="G118" s="13">
        <f t="shared" si="11"/>
        <v>2016</v>
      </c>
      <c r="H118" t="str">
        <f t="shared" si="12"/>
        <v>CIG</v>
      </c>
    </row>
    <row r="119" spans="1:8" x14ac:dyDescent="0.25">
      <c r="A119" s="7" t="s">
        <v>4</v>
      </c>
      <c r="B119" s="7" t="s">
        <v>113</v>
      </c>
      <c r="C119" s="16">
        <v>10000</v>
      </c>
      <c r="D119" s="9">
        <v>42123</v>
      </c>
      <c r="E119" s="10">
        <f t="shared" si="19"/>
        <v>2015</v>
      </c>
      <c r="F119" s="13" t="str">
        <f t="shared" si="10"/>
        <v>10000</v>
      </c>
      <c r="G119" s="13">
        <f t="shared" si="11"/>
        <v>2015</v>
      </c>
      <c r="H119" t="str">
        <f t="shared" si="12"/>
        <v>CIG</v>
      </c>
    </row>
    <row r="120" spans="1:8" x14ac:dyDescent="0.25">
      <c r="A120" s="7" t="s">
        <v>4</v>
      </c>
      <c r="B120" s="7" t="s">
        <v>2011</v>
      </c>
      <c r="C120" s="16">
        <v>10000</v>
      </c>
      <c r="D120" s="9">
        <v>42619</v>
      </c>
      <c r="E120" s="10">
        <f t="shared" si="19"/>
        <v>2016</v>
      </c>
      <c r="F120" s="13" t="str">
        <f t="shared" si="10"/>
        <v>10000</v>
      </c>
      <c r="G120" s="13">
        <f t="shared" si="11"/>
        <v>2016</v>
      </c>
      <c r="H120" t="str">
        <f t="shared" si="12"/>
        <v>CIG</v>
      </c>
    </row>
    <row r="121" spans="1:8" x14ac:dyDescent="0.25">
      <c r="A121" s="7" t="s">
        <v>102</v>
      </c>
      <c r="B121" s="7" t="s">
        <v>90</v>
      </c>
      <c r="C121" s="16">
        <v>10000</v>
      </c>
      <c r="D121" s="9">
        <v>42178</v>
      </c>
      <c r="E121" s="10">
        <f t="shared" si="19"/>
        <v>2015</v>
      </c>
      <c r="F121" s="13" t="str">
        <f t="shared" si="10"/>
        <v>10000; 10000</v>
      </c>
      <c r="G121" s="13" t="str">
        <f t="shared" si="11"/>
        <v>2015; 2015</v>
      </c>
      <c r="H121" t="str">
        <f t="shared" si="12"/>
        <v>SCF; CIG</v>
      </c>
    </row>
    <row r="122" spans="1:8" x14ac:dyDescent="0.25">
      <c r="A122" s="7" t="s">
        <v>4</v>
      </c>
      <c r="B122" s="7" t="s">
        <v>90</v>
      </c>
      <c r="C122" s="16">
        <v>10000</v>
      </c>
      <c r="D122" s="9">
        <v>42123</v>
      </c>
      <c r="E122" s="10">
        <f t="shared" si="19"/>
        <v>2015</v>
      </c>
      <c r="F122" s="13" t="str">
        <f t="shared" si="10"/>
        <v>10000</v>
      </c>
      <c r="G122" s="13">
        <f t="shared" si="11"/>
        <v>2015</v>
      </c>
      <c r="H122" t="str">
        <f t="shared" si="12"/>
        <v>CIG</v>
      </c>
    </row>
    <row r="123" spans="1:8" x14ac:dyDescent="0.25">
      <c r="A123" s="7" t="s">
        <v>4</v>
      </c>
      <c r="B123" s="7" t="s">
        <v>9</v>
      </c>
      <c r="C123" s="16">
        <v>10000</v>
      </c>
      <c r="D123" s="9">
        <v>42864</v>
      </c>
      <c r="E123" s="10">
        <f t="shared" si="19"/>
        <v>2017</v>
      </c>
      <c r="F123" s="13" t="str">
        <f t="shared" si="10"/>
        <v>10000</v>
      </c>
      <c r="G123" s="13">
        <f t="shared" si="11"/>
        <v>2017</v>
      </c>
      <c r="H123" t="str">
        <f t="shared" si="12"/>
        <v>CIG</v>
      </c>
    </row>
    <row r="124" spans="1:8" x14ac:dyDescent="0.25">
      <c r="A124" s="7" t="s">
        <v>4</v>
      </c>
      <c r="B124" s="7" t="s">
        <v>2230</v>
      </c>
      <c r="C124" s="16">
        <v>10000</v>
      </c>
      <c r="D124" s="9">
        <v>42391</v>
      </c>
      <c r="E124" s="10">
        <f t="shared" ref="E124:E137" si="20">YEAR(D124)</f>
        <v>2016</v>
      </c>
      <c r="F124" s="13" t="str">
        <f t="shared" si="10"/>
        <v>10000</v>
      </c>
      <c r="G124" s="13">
        <f t="shared" si="11"/>
        <v>2016</v>
      </c>
      <c r="H124" t="str">
        <f t="shared" si="12"/>
        <v>CIG</v>
      </c>
    </row>
    <row r="125" spans="1:8" x14ac:dyDescent="0.25">
      <c r="A125" s="7" t="s">
        <v>4</v>
      </c>
      <c r="B125" s="7" t="s">
        <v>10</v>
      </c>
      <c r="C125" s="16">
        <v>10000</v>
      </c>
      <c r="D125" s="9">
        <v>42864</v>
      </c>
      <c r="E125" s="10">
        <f t="shared" si="20"/>
        <v>2017</v>
      </c>
      <c r="F125" s="13" t="str">
        <f t="shared" si="10"/>
        <v>10000</v>
      </c>
      <c r="G125" s="13">
        <f t="shared" si="11"/>
        <v>2017</v>
      </c>
      <c r="H125" t="str">
        <f t="shared" si="12"/>
        <v>CIG</v>
      </c>
    </row>
    <row r="126" spans="1:8" x14ac:dyDescent="0.25">
      <c r="A126" s="7" t="s">
        <v>4</v>
      </c>
      <c r="B126" s="7" t="s">
        <v>23</v>
      </c>
      <c r="C126" s="16">
        <v>10000</v>
      </c>
      <c r="D126" s="9">
        <v>42864</v>
      </c>
      <c r="E126" s="10">
        <f t="shared" si="20"/>
        <v>2017</v>
      </c>
      <c r="F126" s="13" t="str">
        <f t="shared" si="10"/>
        <v>10000</v>
      </c>
      <c r="G126" s="13">
        <f t="shared" si="11"/>
        <v>2017</v>
      </c>
      <c r="H126" t="str">
        <f t="shared" si="12"/>
        <v>CIG</v>
      </c>
    </row>
    <row r="127" spans="1:8" x14ac:dyDescent="0.25">
      <c r="A127" s="7" t="s">
        <v>4</v>
      </c>
      <c r="B127" s="7" t="s">
        <v>11</v>
      </c>
      <c r="C127" s="16">
        <v>10000</v>
      </c>
      <c r="D127" s="9">
        <v>42864</v>
      </c>
      <c r="E127" s="10">
        <f t="shared" si="20"/>
        <v>2017</v>
      </c>
      <c r="F127" s="13" t="str">
        <f t="shared" si="10"/>
        <v>10000; 10000; 10000</v>
      </c>
      <c r="G127" s="13" t="str">
        <f t="shared" si="11"/>
        <v>2017; 2016; 2015</v>
      </c>
      <c r="H127" t="str">
        <f t="shared" si="12"/>
        <v>CIG; CIG; SCF</v>
      </c>
    </row>
    <row r="128" spans="1:8" x14ac:dyDescent="0.25">
      <c r="A128" s="7" t="s">
        <v>4</v>
      </c>
      <c r="B128" s="7" t="s">
        <v>11</v>
      </c>
      <c r="C128" s="16">
        <v>10000</v>
      </c>
      <c r="D128" s="9">
        <v>42481</v>
      </c>
      <c r="E128" s="10">
        <f t="shared" si="20"/>
        <v>2016</v>
      </c>
      <c r="F128" s="13" t="str">
        <f t="shared" si="10"/>
        <v>10000; 10000</v>
      </c>
      <c r="G128" s="13" t="str">
        <f t="shared" si="11"/>
        <v>2016; 2015</v>
      </c>
      <c r="H128" t="str">
        <f t="shared" si="12"/>
        <v>CIG; SCF</v>
      </c>
    </row>
    <row r="129" spans="1:8" x14ac:dyDescent="0.25">
      <c r="A129" s="7" t="s">
        <v>102</v>
      </c>
      <c r="B129" s="7" t="s">
        <v>11</v>
      </c>
      <c r="C129" s="16">
        <v>10000</v>
      </c>
      <c r="D129" s="9">
        <v>42178</v>
      </c>
      <c r="E129" s="10">
        <f t="shared" si="20"/>
        <v>2015</v>
      </c>
      <c r="F129" s="13" t="str">
        <f t="shared" si="10"/>
        <v>10000</v>
      </c>
      <c r="G129" s="13">
        <f t="shared" si="11"/>
        <v>2015</v>
      </c>
      <c r="H129" t="str">
        <f t="shared" si="12"/>
        <v>SCF</v>
      </c>
    </row>
    <row r="130" spans="1:8" x14ac:dyDescent="0.25">
      <c r="A130" s="7" t="s">
        <v>4</v>
      </c>
      <c r="B130" s="7" t="s">
        <v>32</v>
      </c>
      <c r="C130" s="16">
        <v>10000</v>
      </c>
      <c r="D130" s="9">
        <v>42739</v>
      </c>
      <c r="E130" s="10">
        <f t="shared" si="20"/>
        <v>2017</v>
      </c>
      <c r="F130" s="13" t="str">
        <f t="shared" si="10"/>
        <v>10000</v>
      </c>
      <c r="G130" s="13">
        <f t="shared" si="11"/>
        <v>2017</v>
      </c>
      <c r="H130" t="str">
        <f t="shared" si="12"/>
        <v>CIG</v>
      </c>
    </row>
    <row r="131" spans="1:8" x14ac:dyDescent="0.25">
      <c r="A131" s="7" t="s">
        <v>4</v>
      </c>
      <c r="B131" s="7" t="s">
        <v>12</v>
      </c>
      <c r="C131" s="16">
        <v>10000</v>
      </c>
      <c r="D131" s="9">
        <v>42864</v>
      </c>
      <c r="E131" s="10">
        <f t="shared" si="20"/>
        <v>2017</v>
      </c>
      <c r="F131" s="13" t="str">
        <f t="shared" si="10"/>
        <v>10000; 10000; 10000</v>
      </c>
      <c r="G131" s="13" t="str">
        <f t="shared" si="11"/>
        <v>2017; 2016; 2015</v>
      </c>
      <c r="H131" t="str">
        <f t="shared" si="12"/>
        <v>CIG; CIG; SCF</v>
      </c>
    </row>
    <row r="132" spans="1:8" x14ac:dyDescent="0.25">
      <c r="A132" s="7" t="s">
        <v>4</v>
      </c>
      <c r="B132" s="7" t="s">
        <v>12</v>
      </c>
      <c r="C132" s="16">
        <v>10000</v>
      </c>
      <c r="D132" s="9">
        <v>42481</v>
      </c>
      <c r="E132" s="10">
        <f t="shared" si="20"/>
        <v>2016</v>
      </c>
      <c r="F132" s="13" t="str">
        <f t="shared" si="10"/>
        <v>10000; 10000</v>
      </c>
      <c r="G132" s="13" t="str">
        <f t="shared" si="11"/>
        <v>2016; 2015</v>
      </c>
      <c r="H132" t="str">
        <f t="shared" si="12"/>
        <v>CIG; SCF</v>
      </c>
    </row>
    <row r="133" spans="1:8" x14ac:dyDescent="0.25">
      <c r="A133" s="7" t="s">
        <v>102</v>
      </c>
      <c r="B133" s="7" t="s">
        <v>12</v>
      </c>
      <c r="C133" s="16">
        <v>10000</v>
      </c>
      <c r="D133" s="9">
        <v>42178</v>
      </c>
      <c r="E133" s="10">
        <f t="shared" si="20"/>
        <v>2015</v>
      </c>
      <c r="F133" s="13" t="str">
        <f t="shared" si="10"/>
        <v>10000</v>
      </c>
      <c r="G133" s="13">
        <f t="shared" si="11"/>
        <v>2015</v>
      </c>
      <c r="H133" t="str">
        <f t="shared" si="12"/>
        <v>SCF</v>
      </c>
    </row>
    <row r="134" spans="1:8" x14ac:dyDescent="0.25">
      <c r="A134" s="7" t="s">
        <v>102</v>
      </c>
      <c r="B134" s="7" t="s">
        <v>106</v>
      </c>
      <c r="C134" s="16">
        <v>10000</v>
      </c>
      <c r="D134" s="9">
        <v>42178</v>
      </c>
      <c r="E134" s="10">
        <f t="shared" si="20"/>
        <v>2015</v>
      </c>
      <c r="F134" s="13" t="str">
        <f t="shared" si="10"/>
        <v>10000; 10000</v>
      </c>
      <c r="G134" s="13" t="str">
        <f t="shared" si="11"/>
        <v>2015; 2015</v>
      </c>
      <c r="H134" t="str">
        <f t="shared" si="12"/>
        <v>SCF; SCF</v>
      </c>
    </row>
    <row r="135" spans="1:8" x14ac:dyDescent="0.25">
      <c r="A135" s="7" t="s">
        <v>102</v>
      </c>
      <c r="B135" s="7" t="s">
        <v>106</v>
      </c>
      <c r="C135" s="16">
        <v>10000</v>
      </c>
      <c r="D135" s="9">
        <v>42178</v>
      </c>
      <c r="E135" s="10">
        <f t="shared" si="20"/>
        <v>2015</v>
      </c>
      <c r="F135" s="13" t="str">
        <f t="shared" si="10"/>
        <v>10000</v>
      </c>
      <c r="G135" s="13">
        <f t="shared" si="11"/>
        <v>2015</v>
      </c>
      <c r="H135" t="str">
        <f t="shared" si="12"/>
        <v>SCF</v>
      </c>
    </row>
    <row r="136" spans="1:8" x14ac:dyDescent="0.25">
      <c r="A136" s="7" t="s">
        <v>4</v>
      </c>
      <c r="B136" s="7" t="s">
        <v>33</v>
      </c>
      <c r="C136" s="16">
        <v>10000</v>
      </c>
      <c r="D136" s="9">
        <v>42739</v>
      </c>
      <c r="E136" s="10">
        <f t="shared" si="20"/>
        <v>2017</v>
      </c>
      <c r="F136" s="13" t="str">
        <f t="shared" si="10"/>
        <v>10000</v>
      </c>
      <c r="G136" s="13">
        <f t="shared" si="11"/>
        <v>2017</v>
      </c>
      <c r="H136" t="str">
        <f t="shared" si="12"/>
        <v>CIG</v>
      </c>
    </row>
    <row r="137" spans="1:8" x14ac:dyDescent="0.25">
      <c r="A137" s="7" t="s">
        <v>4</v>
      </c>
      <c r="B137" s="7" t="s">
        <v>34</v>
      </c>
      <c r="C137" s="16">
        <v>10000</v>
      </c>
      <c r="D137" s="9">
        <v>42739</v>
      </c>
      <c r="E137" s="10">
        <f t="shared" si="20"/>
        <v>2017</v>
      </c>
      <c r="F137" s="13" t="str">
        <f t="shared" si="10"/>
        <v>10000</v>
      </c>
      <c r="G137" s="13">
        <f t="shared" si="11"/>
        <v>2017</v>
      </c>
      <c r="H137" t="str">
        <f t="shared" si="12"/>
        <v>CIG</v>
      </c>
    </row>
  </sheetData>
  <sortState ref="A2:G137">
    <sortCondition ref="B2:B137"/>
  </sortState>
  <conditionalFormatting sqref="A1:E1 A37 C37:E37 A2 C2:E2 A3:E36 A38:E66 A68:E137 A67 C67:E67">
    <cfRule type="expression" dxfId="17" priority="10">
      <formula>IF($A1="G", TRUE,FALSE)</formula>
    </cfRule>
  </conditionalFormatting>
  <conditionalFormatting sqref="B37">
    <cfRule type="duplicateValues" dxfId="16" priority="6" stopIfTrue="1"/>
  </conditionalFormatting>
  <conditionalFormatting sqref="B37">
    <cfRule type="expression" dxfId="15" priority="5">
      <formula>IF(OR($A37="G",$A37="SCF"), TRUE,FALSE)</formula>
    </cfRule>
  </conditionalFormatting>
  <conditionalFormatting sqref="B37">
    <cfRule type="expression" dxfId="14" priority="4">
      <formula>IF(B37="",TRUE,FALSE)</formula>
    </cfRule>
  </conditionalFormatting>
  <conditionalFormatting sqref="B2">
    <cfRule type="expression" dxfId="13" priority="2">
      <formula>IF(OR($A2="G",$A2="SCF"), TRUE,FALSE)</formula>
    </cfRule>
  </conditionalFormatting>
  <conditionalFormatting sqref="B2">
    <cfRule type="expression" dxfId="12" priority="1">
      <formula>IF(B2="",TRUE,FALSE)</formula>
    </cfRule>
  </conditionalFormatting>
  <conditionalFormatting sqref="B2">
    <cfRule type="duplicateValues" dxfId="11" priority="3" stopIfTrue="1"/>
  </conditionalFormatting>
  <conditionalFormatting sqref="B38:B66 B1 B3:B36 B68:B137">
    <cfRule type="duplicateValues" dxfId="10" priority="448" stopIfTrue="1"/>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47"/>
  <sheetViews>
    <sheetView topLeftCell="A124" workbookViewId="0">
      <selection activeCell="A143" sqref="A143:XFD143"/>
    </sheetView>
  </sheetViews>
  <sheetFormatPr defaultColWidth="9.140625" defaultRowHeight="15" x14ac:dyDescent="0.25"/>
  <cols>
    <col min="1" max="1" width="9.140625" style="6"/>
    <col min="2" max="2" width="22.5703125" style="6" customWidth="1"/>
    <col min="3" max="16384" width="9.140625" style="6"/>
  </cols>
  <sheetData>
    <row r="1" spans="1:6" x14ac:dyDescent="0.25">
      <c r="A1" s="3" t="s">
        <v>15</v>
      </c>
      <c r="B1" s="3" t="s">
        <v>16</v>
      </c>
      <c r="C1" s="3" t="s">
        <v>17</v>
      </c>
      <c r="D1" s="4" t="s">
        <v>18</v>
      </c>
      <c r="E1" s="11" t="s">
        <v>19</v>
      </c>
      <c r="F1" s="5"/>
    </row>
    <row r="2" spans="1:6" x14ac:dyDescent="0.25">
      <c r="A2" s="7" t="s">
        <v>4</v>
      </c>
      <c r="B2" s="7" t="s">
        <v>12</v>
      </c>
      <c r="C2" s="8">
        <v>10000</v>
      </c>
      <c r="D2" s="9">
        <v>42864</v>
      </c>
      <c r="E2" s="10">
        <f>YEAR(D2)</f>
        <v>2017</v>
      </c>
    </row>
    <row r="3" spans="1:6" x14ac:dyDescent="0.25">
      <c r="A3" s="7" t="s">
        <v>4</v>
      </c>
      <c r="B3" s="7" t="s">
        <v>6</v>
      </c>
      <c r="C3" s="8">
        <v>10000</v>
      </c>
      <c r="D3" s="9">
        <v>42864</v>
      </c>
      <c r="E3" s="10">
        <f t="shared" ref="E3:E51" si="0">YEAR(D3)</f>
        <v>2017</v>
      </c>
    </row>
    <row r="4" spans="1:6" x14ac:dyDescent="0.25">
      <c r="A4" s="7" t="s">
        <v>4</v>
      </c>
      <c r="B4" s="7" t="s">
        <v>7</v>
      </c>
      <c r="C4" s="8">
        <v>10000</v>
      </c>
      <c r="D4" s="9">
        <v>42864</v>
      </c>
      <c r="E4" s="10">
        <f t="shared" si="0"/>
        <v>2017</v>
      </c>
    </row>
    <row r="5" spans="1:6" x14ac:dyDescent="0.25">
      <c r="A5" s="7" t="s">
        <v>4</v>
      </c>
      <c r="B5" s="7" t="s">
        <v>8</v>
      </c>
      <c r="C5" s="8">
        <v>10000</v>
      </c>
      <c r="D5" s="9">
        <v>42864</v>
      </c>
      <c r="E5" s="10">
        <f t="shared" si="0"/>
        <v>2017</v>
      </c>
    </row>
    <row r="6" spans="1:6" x14ac:dyDescent="0.25">
      <c r="A6" s="7" t="s">
        <v>4</v>
      </c>
      <c r="B6" s="7" t="s">
        <v>9</v>
      </c>
      <c r="C6" s="8">
        <v>10000</v>
      </c>
      <c r="D6" s="9">
        <v>42864</v>
      </c>
      <c r="E6" s="10">
        <f t="shared" si="0"/>
        <v>2017</v>
      </c>
    </row>
    <row r="7" spans="1:6" x14ac:dyDescent="0.25">
      <c r="A7" s="7" t="s">
        <v>4</v>
      </c>
      <c r="B7" s="7" t="s">
        <v>10</v>
      </c>
      <c r="C7" s="8">
        <v>10000</v>
      </c>
      <c r="D7" s="9">
        <v>42864</v>
      </c>
      <c r="E7" s="10">
        <f t="shared" si="0"/>
        <v>2017</v>
      </c>
    </row>
    <row r="8" spans="1:6" x14ac:dyDescent="0.25">
      <c r="A8" s="7" t="s">
        <v>4</v>
      </c>
      <c r="B8" s="7" t="s">
        <v>20</v>
      </c>
      <c r="C8" s="8">
        <v>10000</v>
      </c>
      <c r="D8" s="9">
        <v>42864</v>
      </c>
      <c r="E8" s="10">
        <f t="shared" si="0"/>
        <v>2017</v>
      </c>
    </row>
    <row r="9" spans="1:6" x14ac:dyDescent="0.25">
      <c r="A9" s="7" t="s">
        <v>4</v>
      </c>
      <c r="B9" s="7" t="s">
        <v>3</v>
      </c>
      <c r="C9" s="8">
        <v>10000</v>
      </c>
      <c r="D9" s="9">
        <v>42864</v>
      </c>
      <c r="E9" s="10">
        <f t="shared" si="0"/>
        <v>2017</v>
      </c>
    </row>
    <row r="10" spans="1:6" x14ac:dyDescent="0.25">
      <c r="A10" s="7" t="s">
        <v>4</v>
      </c>
      <c r="B10" s="7" t="s">
        <v>21</v>
      </c>
      <c r="C10" s="8">
        <v>10000</v>
      </c>
      <c r="D10" s="9">
        <v>42864</v>
      </c>
      <c r="E10" s="10">
        <f t="shared" si="0"/>
        <v>2017</v>
      </c>
    </row>
    <row r="11" spans="1:6" x14ac:dyDescent="0.25">
      <c r="A11" s="7" t="s">
        <v>4</v>
      </c>
      <c r="B11" s="7" t="s">
        <v>5</v>
      </c>
      <c r="C11" s="8">
        <v>10000</v>
      </c>
      <c r="D11" s="9">
        <v>42864</v>
      </c>
      <c r="E11" s="10">
        <f t="shared" si="0"/>
        <v>2017</v>
      </c>
    </row>
    <row r="12" spans="1:6" x14ac:dyDescent="0.25">
      <c r="A12" s="7" t="s">
        <v>4</v>
      </c>
      <c r="B12" s="7" t="s">
        <v>22</v>
      </c>
      <c r="C12" s="8">
        <v>10000</v>
      </c>
      <c r="D12" s="9">
        <v>42864</v>
      </c>
      <c r="E12" s="10">
        <f t="shared" si="0"/>
        <v>2017</v>
      </c>
    </row>
    <row r="13" spans="1:6" x14ac:dyDescent="0.25">
      <c r="A13" s="7" t="s">
        <v>4</v>
      </c>
      <c r="B13" s="7" t="s">
        <v>23</v>
      </c>
      <c r="C13" s="8">
        <v>10000</v>
      </c>
      <c r="D13" s="9">
        <v>42864</v>
      </c>
      <c r="E13" s="10">
        <f t="shared" si="0"/>
        <v>2017</v>
      </c>
    </row>
    <row r="14" spans="1:6" x14ac:dyDescent="0.25">
      <c r="A14" s="7" t="s">
        <v>4</v>
      </c>
      <c r="B14" s="7" t="s">
        <v>11</v>
      </c>
      <c r="C14" s="8">
        <v>10000</v>
      </c>
      <c r="D14" s="9">
        <v>42864</v>
      </c>
      <c r="E14" s="10">
        <f t="shared" si="0"/>
        <v>2017</v>
      </c>
    </row>
    <row r="15" spans="1:6" x14ac:dyDescent="0.25">
      <c r="A15" s="7" t="s">
        <v>24</v>
      </c>
      <c r="B15" s="7" t="s">
        <v>25</v>
      </c>
      <c r="C15" s="8">
        <v>250</v>
      </c>
      <c r="D15" s="9">
        <v>42810</v>
      </c>
      <c r="E15" s="10">
        <f t="shared" si="0"/>
        <v>2017</v>
      </c>
    </row>
    <row r="16" spans="1:6" x14ac:dyDescent="0.25">
      <c r="A16" s="7" t="s">
        <v>24</v>
      </c>
      <c r="B16" s="7" t="s">
        <v>6</v>
      </c>
      <c r="C16" s="8">
        <v>250</v>
      </c>
      <c r="D16" s="9">
        <v>42810</v>
      </c>
      <c r="E16" s="10">
        <f t="shared" si="0"/>
        <v>2017</v>
      </c>
    </row>
    <row r="17" spans="1:5" x14ac:dyDescent="0.25">
      <c r="A17" s="7" t="s">
        <v>24</v>
      </c>
      <c r="B17" s="7" t="s">
        <v>26</v>
      </c>
      <c r="C17" s="8">
        <v>250</v>
      </c>
      <c r="D17" s="9">
        <v>42810</v>
      </c>
      <c r="E17" s="10">
        <f t="shared" si="0"/>
        <v>2017</v>
      </c>
    </row>
    <row r="18" spans="1:5" x14ac:dyDescent="0.25">
      <c r="A18" s="7" t="s">
        <v>4</v>
      </c>
      <c r="B18" s="7" t="s">
        <v>27</v>
      </c>
      <c r="C18" s="8">
        <v>10000</v>
      </c>
      <c r="D18" s="9">
        <v>42739</v>
      </c>
      <c r="E18" s="10">
        <f t="shared" si="0"/>
        <v>2017</v>
      </c>
    </row>
    <row r="19" spans="1:5" x14ac:dyDescent="0.25">
      <c r="A19" s="7" t="s">
        <v>4</v>
      </c>
      <c r="B19" s="7" t="s">
        <v>28</v>
      </c>
      <c r="C19" s="8">
        <v>10000</v>
      </c>
      <c r="D19" s="9">
        <v>42739</v>
      </c>
      <c r="E19" s="10">
        <f t="shared" si="0"/>
        <v>2017</v>
      </c>
    </row>
    <row r="20" spans="1:5" x14ac:dyDescent="0.25">
      <c r="A20" s="7" t="s">
        <v>4</v>
      </c>
      <c r="B20" s="7" t="s">
        <v>29</v>
      </c>
      <c r="C20" s="8">
        <v>10000</v>
      </c>
      <c r="D20" s="9">
        <v>42739</v>
      </c>
      <c r="E20" s="10">
        <f t="shared" si="0"/>
        <v>2017</v>
      </c>
    </row>
    <row r="21" spans="1:5" x14ac:dyDescent="0.25">
      <c r="A21" s="7" t="s">
        <v>4</v>
      </c>
      <c r="B21" s="7" t="s">
        <v>30</v>
      </c>
      <c r="C21" s="8">
        <v>10000</v>
      </c>
      <c r="D21" s="9">
        <v>42739</v>
      </c>
      <c r="E21" s="10">
        <f t="shared" si="0"/>
        <v>2017</v>
      </c>
    </row>
    <row r="22" spans="1:5" x14ac:dyDescent="0.25">
      <c r="A22" s="7" t="s">
        <v>4</v>
      </c>
      <c r="B22" s="7" t="s">
        <v>31</v>
      </c>
      <c r="C22" s="8">
        <v>10000</v>
      </c>
      <c r="D22" s="9">
        <v>42739</v>
      </c>
      <c r="E22" s="10">
        <f t="shared" si="0"/>
        <v>2017</v>
      </c>
    </row>
    <row r="23" spans="1:5" x14ac:dyDescent="0.25">
      <c r="A23" s="7" t="s">
        <v>4</v>
      </c>
      <c r="B23" s="7" t="s">
        <v>32</v>
      </c>
      <c r="C23" s="8">
        <v>10000</v>
      </c>
      <c r="D23" s="9">
        <v>42739</v>
      </c>
      <c r="E23" s="10">
        <f t="shared" si="0"/>
        <v>2017</v>
      </c>
    </row>
    <row r="24" spans="1:5" x14ac:dyDescent="0.25">
      <c r="A24" s="7" t="s">
        <v>4</v>
      </c>
      <c r="B24" s="7" t="s">
        <v>33</v>
      </c>
      <c r="C24" s="8">
        <v>10000</v>
      </c>
      <c r="D24" s="9">
        <v>42739</v>
      </c>
      <c r="E24" s="10">
        <f t="shared" si="0"/>
        <v>2017</v>
      </c>
    </row>
    <row r="25" spans="1:5" x14ac:dyDescent="0.25">
      <c r="A25" s="7" t="s">
        <v>4</v>
      </c>
      <c r="B25" s="7" t="s">
        <v>34</v>
      </c>
      <c r="C25" s="8">
        <v>10000</v>
      </c>
      <c r="D25" s="9">
        <v>42739</v>
      </c>
      <c r="E25" s="10">
        <f t="shared" si="0"/>
        <v>2017</v>
      </c>
    </row>
    <row r="26" spans="1:5" x14ac:dyDescent="0.25">
      <c r="A26" s="7" t="s">
        <v>4</v>
      </c>
      <c r="B26" s="7" t="s">
        <v>35</v>
      </c>
      <c r="C26" s="8">
        <v>10000</v>
      </c>
      <c r="D26" s="9">
        <v>42733</v>
      </c>
      <c r="E26" s="10">
        <f t="shared" si="0"/>
        <v>2016</v>
      </c>
    </row>
    <row r="27" spans="1:5" x14ac:dyDescent="0.25">
      <c r="A27" s="7" t="s">
        <v>4</v>
      </c>
      <c r="B27" s="7" t="s">
        <v>36</v>
      </c>
      <c r="C27" s="8">
        <v>10000</v>
      </c>
      <c r="D27" s="9">
        <v>42733</v>
      </c>
      <c r="E27" s="10">
        <f t="shared" si="0"/>
        <v>2016</v>
      </c>
    </row>
    <row r="28" spans="1:5" x14ac:dyDescent="0.25">
      <c r="A28" s="7" t="s">
        <v>4</v>
      </c>
      <c r="B28" s="7" t="s">
        <v>37</v>
      </c>
      <c r="C28" s="8">
        <v>10000</v>
      </c>
      <c r="D28" s="9">
        <v>42733</v>
      </c>
      <c r="E28" s="10">
        <f t="shared" si="0"/>
        <v>2016</v>
      </c>
    </row>
    <row r="29" spans="1:5" x14ac:dyDescent="0.25">
      <c r="A29" s="7" t="s">
        <v>4</v>
      </c>
      <c r="B29" s="7" t="s">
        <v>38</v>
      </c>
      <c r="C29" s="8">
        <v>10000</v>
      </c>
      <c r="D29" s="9">
        <v>42733</v>
      </c>
      <c r="E29" s="10">
        <f t="shared" si="0"/>
        <v>2016</v>
      </c>
    </row>
    <row r="30" spans="1:5" x14ac:dyDescent="0.25">
      <c r="A30" s="7" t="s">
        <v>4</v>
      </c>
      <c r="B30" s="7" t="s">
        <v>39</v>
      </c>
      <c r="C30" s="8">
        <v>10000</v>
      </c>
      <c r="D30" s="9">
        <v>42733</v>
      </c>
      <c r="E30" s="10">
        <f t="shared" si="0"/>
        <v>2016</v>
      </c>
    </row>
    <row r="31" spans="1:5" x14ac:dyDescent="0.25">
      <c r="A31" s="7" t="s">
        <v>4</v>
      </c>
      <c r="B31" s="7" t="s">
        <v>40</v>
      </c>
      <c r="C31" s="8">
        <v>10000</v>
      </c>
      <c r="D31" s="9">
        <v>42733</v>
      </c>
      <c r="E31" s="10">
        <f t="shared" si="0"/>
        <v>2016</v>
      </c>
    </row>
    <row r="32" spans="1:5" x14ac:dyDescent="0.25">
      <c r="A32" s="7" t="s">
        <v>41</v>
      </c>
      <c r="B32" s="7" t="s">
        <v>21</v>
      </c>
      <c r="C32" s="8">
        <v>10000</v>
      </c>
      <c r="D32" s="9">
        <v>42733</v>
      </c>
      <c r="E32" s="10">
        <f t="shared" si="0"/>
        <v>2016</v>
      </c>
    </row>
    <row r="33" spans="1:5" x14ac:dyDescent="0.25">
      <c r="A33" s="7" t="s">
        <v>41</v>
      </c>
      <c r="B33" s="7" t="s">
        <v>42</v>
      </c>
      <c r="C33" s="8">
        <v>10000</v>
      </c>
      <c r="D33" s="9">
        <v>42733</v>
      </c>
      <c r="E33" s="10">
        <f t="shared" si="0"/>
        <v>2016</v>
      </c>
    </row>
    <row r="34" spans="1:5" x14ac:dyDescent="0.25">
      <c r="A34" s="7" t="s">
        <v>41</v>
      </c>
      <c r="B34" s="7" t="s">
        <v>43</v>
      </c>
      <c r="C34" s="8">
        <v>10000</v>
      </c>
      <c r="D34" s="9">
        <v>42733</v>
      </c>
      <c r="E34" s="10">
        <f t="shared" si="0"/>
        <v>2016</v>
      </c>
    </row>
    <row r="35" spans="1:5" x14ac:dyDescent="0.25">
      <c r="A35" s="7" t="s">
        <v>41</v>
      </c>
      <c r="B35" s="7" t="s">
        <v>44</v>
      </c>
      <c r="C35" s="8">
        <v>10000</v>
      </c>
      <c r="D35" s="9">
        <v>42733</v>
      </c>
      <c r="E35" s="10">
        <f t="shared" si="0"/>
        <v>2016</v>
      </c>
    </row>
    <row r="36" spans="1:5" x14ac:dyDescent="0.25">
      <c r="A36" s="7" t="s">
        <v>45</v>
      </c>
      <c r="B36" s="7" t="s">
        <v>6</v>
      </c>
      <c r="C36" s="8">
        <v>2500</v>
      </c>
      <c r="D36" s="9">
        <v>42703</v>
      </c>
      <c r="E36" s="10">
        <f t="shared" si="0"/>
        <v>2016</v>
      </c>
    </row>
    <row r="37" spans="1:5" x14ac:dyDescent="0.25">
      <c r="A37" s="7" t="s">
        <v>45</v>
      </c>
      <c r="B37" s="7" t="s">
        <v>46</v>
      </c>
      <c r="C37" s="8">
        <v>2500</v>
      </c>
      <c r="D37" s="9">
        <v>42703</v>
      </c>
      <c r="E37" s="10">
        <f t="shared" si="0"/>
        <v>2016</v>
      </c>
    </row>
    <row r="38" spans="1:5" x14ac:dyDescent="0.25">
      <c r="A38" s="7" t="s">
        <v>4</v>
      </c>
      <c r="B38" s="7" t="s">
        <v>47</v>
      </c>
      <c r="C38" s="8">
        <v>10000</v>
      </c>
      <c r="D38" s="9">
        <v>42619</v>
      </c>
      <c r="E38" s="10">
        <f t="shared" si="0"/>
        <v>2016</v>
      </c>
    </row>
    <row r="39" spans="1:5" x14ac:dyDescent="0.25">
      <c r="A39" s="7" t="s">
        <v>4</v>
      </c>
      <c r="B39" s="7" t="s">
        <v>48</v>
      </c>
      <c r="C39" s="8">
        <v>10000</v>
      </c>
      <c r="D39" s="9">
        <v>42619</v>
      </c>
      <c r="E39" s="10">
        <f t="shared" si="0"/>
        <v>2016</v>
      </c>
    </row>
    <row r="40" spans="1:5" x14ac:dyDescent="0.25">
      <c r="A40" s="7" t="s">
        <v>4</v>
      </c>
      <c r="B40" s="7" t="s">
        <v>49</v>
      </c>
      <c r="C40" s="8">
        <v>10000</v>
      </c>
      <c r="D40" s="9">
        <v>42619</v>
      </c>
      <c r="E40" s="10">
        <f t="shared" si="0"/>
        <v>2016</v>
      </c>
    </row>
    <row r="41" spans="1:5" x14ac:dyDescent="0.25">
      <c r="A41" s="7" t="s">
        <v>4</v>
      </c>
      <c r="B41" s="7" t="s">
        <v>50</v>
      </c>
      <c r="C41" s="8">
        <v>10000</v>
      </c>
      <c r="D41" s="9">
        <v>42619</v>
      </c>
      <c r="E41" s="10">
        <f t="shared" si="0"/>
        <v>2016</v>
      </c>
    </row>
    <row r="42" spans="1:5" x14ac:dyDescent="0.25">
      <c r="A42" s="7" t="s">
        <v>4</v>
      </c>
      <c r="B42" s="7" t="s">
        <v>51</v>
      </c>
      <c r="C42" s="8">
        <v>10000</v>
      </c>
      <c r="D42" s="9">
        <v>42619</v>
      </c>
      <c r="E42" s="10">
        <f t="shared" si="0"/>
        <v>2016</v>
      </c>
    </row>
    <row r="43" spans="1:5" x14ac:dyDescent="0.25">
      <c r="A43" s="7" t="s">
        <v>4</v>
      </c>
      <c r="B43" s="7" t="s">
        <v>52</v>
      </c>
      <c r="C43" s="8">
        <v>10000</v>
      </c>
      <c r="D43" s="9">
        <v>42619</v>
      </c>
      <c r="E43" s="10">
        <f t="shared" si="0"/>
        <v>2016</v>
      </c>
    </row>
    <row r="44" spans="1:5" x14ac:dyDescent="0.25">
      <c r="A44" s="7" t="s">
        <v>4</v>
      </c>
      <c r="B44" s="7" t="s">
        <v>53</v>
      </c>
      <c r="C44" s="8">
        <v>10000</v>
      </c>
      <c r="D44" s="9">
        <v>42619</v>
      </c>
      <c r="E44" s="10">
        <f t="shared" si="0"/>
        <v>2016</v>
      </c>
    </row>
    <row r="45" spans="1:5" x14ac:dyDescent="0.25">
      <c r="A45" s="7" t="s">
        <v>4</v>
      </c>
      <c r="B45" s="7" t="s">
        <v>54</v>
      </c>
      <c r="C45" s="8">
        <v>10000</v>
      </c>
      <c r="D45" s="9">
        <v>42619</v>
      </c>
      <c r="E45" s="10">
        <f t="shared" si="0"/>
        <v>2016</v>
      </c>
    </row>
    <row r="46" spans="1:5" x14ac:dyDescent="0.25">
      <c r="A46" s="7" t="s">
        <v>4</v>
      </c>
      <c r="B46" s="7" t="s">
        <v>55</v>
      </c>
      <c r="C46" s="8">
        <v>10000</v>
      </c>
      <c r="D46" s="9">
        <v>42619</v>
      </c>
      <c r="E46" s="10">
        <f t="shared" si="0"/>
        <v>2016</v>
      </c>
    </row>
    <row r="47" spans="1:5" x14ac:dyDescent="0.25">
      <c r="A47" s="7" t="s">
        <v>4</v>
      </c>
      <c r="B47" s="7" t="s">
        <v>56</v>
      </c>
      <c r="C47" s="8">
        <v>7500</v>
      </c>
      <c r="D47" s="9">
        <v>42619</v>
      </c>
      <c r="E47" s="10">
        <f t="shared" si="0"/>
        <v>2016</v>
      </c>
    </row>
    <row r="48" spans="1:5" x14ac:dyDescent="0.25">
      <c r="A48" s="7" t="s">
        <v>4</v>
      </c>
      <c r="B48" s="7" t="s">
        <v>57</v>
      </c>
      <c r="C48" s="8">
        <v>10000</v>
      </c>
      <c r="D48" s="9">
        <v>42619</v>
      </c>
      <c r="E48" s="10">
        <f t="shared" si="0"/>
        <v>2016</v>
      </c>
    </row>
    <row r="49" spans="1:5" x14ac:dyDescent="0.25">
      <c r="A49" s="7" t="s">
        <v>4</v>
      </c>
      <c r="B49" s="7" t="s">
        <v>58</v>
      </c>
      <c r="C49" s="8">
        <v>9000</v>
      </c>
      <c r="D49" s="9">
        <v>42619</v>
      </c>
      <c r="E49" s="10">
        <f t="shared" si="0"/>
        <v>2016</v>
      </c>
    </row>
    <row r="50" spans="1:5" x14ac:dyDescent="0.25">
      <c r="A50" s="7" t="s">
        <v>4</v>
      </c>
      <c r="B50" s="7" t="s">
        <v>59</v>
      </c>
      <c r="C50" s="8">
        <v>10000</v>
      </c>
      <c r="D50" s="9">
        <v>42619</v>
      </c>
      <c r="E50" s="10">
        <f t="shared" si="0"/>
        <v>2016</v>
      </c>
    </row>
    <row r="51" spans="1:5" x14ac:dyDescent="0.25">
      <c r="A51" s="7" t="s">
        <v>4</v>
      </c>
      <c r="B51" s="7" t="s">
        <v>2031</v>
      </c>
      <c r="C51" s="8">
        <v>10000</v>
      </c>
      <c r="D51" s="9">
        <v>42619</v>
      </c>
      <c r="E51" s="10">
        <f t="shared" si="0"/>
        <v>2016</v>
      </c>
    </row>
    <row r="52" spans="1:5" x14ac:dyDescent="0.25">
      <c r="A52" s="7" t="s">
        <v>24</v>
      </c>
      <c r="B52" s="7" t="s">
        <v>25</v>
      </c>
      <c r="C52" s="8">
        <v>10000</v>
      </c>
      <c r="D52" s="9">
        <v>42530</v>
      </c>
      <c r="E52" s="10">
        <f t="shared" ref="E52:E104" si="1">YEAR(D52)</f>
        <v>2016</v>
      </c>
    </row>
    <row r="53" spans="1:5" x14ac:dyDescent="0.25">
      <c r="A53" s="7" t="s">
        <v>24</v>
      </c>
      <c r="B53" s="7" t="s">
        <v>39</v>
      </c>
      <c r="C53" s="8">
        <v>10000</v>
      </c>
      <c r="D53" s="9">
        <v>42530</v>
      </c>
      <c r="E53" s="10">
        <f t="shared" si="1"/>
        <v>2016</v>
      </c>
    </row>
    <row r="54" spans="1:5" x14ac:dyDescent="0.25">
      <c r="A54" s="7" t="s">
        <v>24</v>
      </c>
      <c r="B54" s="7" t="s">
        <v>21</v>
      </c>
      <c r="C54" s="8">
        <v>10000</v>
      </c>
      <c r="D54" s="9">
        <v>42530</v>
      </c>
      <c r="E54" s="10">
        <f t="shared" si="1"/>
        <v>2016</v>
      </c>
    </row>
    <row r="55" spans="1:5" x14ac:dyDescent="0.25">
      <c r="A55" s="7" t="s">
        <v>24</v>
      </c>
      <c r="B55" s="7" t="s">
        <v>26</v>
      </c>
      <c r="C55" s="8">
        <v>10000</v>
      </c>
      <c r="D55" s="9">
        <v>42530</v>
      </c>
      <c r="E55" s="10">
        <f t="shared" si="1"/>
        <v>2016</v>
      </c>
    </row>
    <row r="56" spans="1:5" x14ac:dyDescent="0.25">
      <c r="A56" s="7" t="s">
        <v>24</v>
      </c>
      <c r="B56" s="7" t="s">
        <v>61</v>
      </c>
      <c r="C56" s="8">
        <v>10000</v>
      </c>
      <c r="D56" s="9">
        <v>42530</v>
      </c>
      <c r="E56" s="10">
        <f t="shared" si="1"/>
        <v>2016</v>
      </c>
    </row>
    <row r="57" spans="1:5" x14ac:dyDescent="0.25">
      <c r="A57" s="7" t="s">
        <v>4</v>
      </c>
      <c r="B57" s="7" t="s">
        <v>62</v>
      </c>
      <c r="C57" s="8">
        <v>9260</v>
      </c>
      <c r="D57" s="9">
        <v>42481</v>
      </c>
      <c r="E57" s="10">
        <f t="shared" si="1"/>
        <v>2016</v>
      </c>
    </row>
    <row r="58" spans="1:5" x14ac:dyDescent="0.25">
      <c r="A58" s="7" t="s">
        <v>4</v>
      </c>
      <c r="B58" s="7" t="s">
        <v>63</v>
      </c>
      <c r="C58" s="8">
        <v>7000</v>
      </c>
      <c r="D58" s="9">
        <v>42481</v>
      </c>
      <c r="E58" s="10">
        <f t="shared" si="1"/>
        <v>2016</v>
      </c>
    </row>
    <row r="59" spans="1:5" x14ac:dyDescent="0.25">
      <c r="A59" s="7" t="s">
        <v>4</v>
      </c>
      <c r="B59" s="7" t="s">
        <v>64</v>
      </c>
      <c r="C59" s="8">
        <v>10000</v>
      </c>
      <c r="D59" s="9">
        <v>42481</v>
      </c>
      <c r="E59" s="10">
        <f t="shared" si="1"/>
        <v>2016</v>
      </c>
    </row>
    <row r="60" spans="1:5" x14ac:dyDescent="0.25">
      <c r="A60" s="7" t="s">
        <v>4</v>
      </c>
      <c r="B60" s="7" t="s">
        <v>65</v>
      </c>
      <c r="C60" s="8">
        <v>10000</v>
      </c>
      <c r="D60" s="9">
        <v>42481</v>
      </c>
      <c r="E60" s="10">
        <f t="shared" si="1"/>
        <v>2016</v>
      </c>
    </row>
    <row r="61" spans="1:5" x14ac:dyDescent="0.25">
      <c r="A61" s="7" t="s">
        <v>4</v>
      </c>
      <c r="B61" s="7" t="s">
        <v>66</v>
      </c>
      <c r="C61" s="8">
        <v>10000</v>
      </c>
      <c r="D61" s="9">
        <v>42481</v>
      </c>
      <c r="E61" s="10">
        <f t="shared" si="1"/>
        <v>2016</v>
      </c>
    </row>
    <row r="62" spans="1:5" x14ac:dyDescent="0.25">
      <c r="A62" s="7" t="s">
        <v>4</v>
      </c>
      <c r="B62" s="7" t="s">
        <v>67</v>
      </c>
      <c r="C62" s="8">
        <v>9864</v>
      </c>
      <c r="D62" s="9">
        <v>42481</v>
      </c>
      <c r="E62" s="10">
        <f t="shared" si="1"/>
        <v>2016</v>
      </c>
    </row>
    <row r="63" spans="1:5" x14ac:dyDescent="0.25">
      <c r="A63" s="7" t="s">
        <v>4</v>
      </c>
      <c r="B63" s="7" t="s">
        <v>68</v>
      </c>
      <c r="C63" s="8">
        <v>10000</v>
      </c>
      <c r="D63" s="9">
        <v>42481</v>
      </c>
      <c r="E63" s="10">
        <f t="shared" si="1"/>
        <v>2016</v>
      </c>
    </row>
    <row r="64" spans="1:5" x14ac:dyDescent="0.25">
      <c r="A64" s="7" t="s">
        <v>4</v>
      </c>
      <c r="B64" s="7" t="s">
        <v>69</v>
      </c>
      <c r="C64" s="8">
        <v>10000</v>
      </c>
      <c r="D64" s="9">
        <v>42481</v>
      </c>
      <c r="E64" s="10">
        <f t="shared" si="1"/>
        <v>2016</v>
      </c>
    </row>
    <row r="65" spans="1:5" x14ac:dyDescent="0.25">
      <c r="A65" s="7" t="s">
        <v>4</v>
      </c>
      <c r="B65" s="7" t="s">
        <v>12</v>
      </c>
      <c r="C65" s="8">
        <v>10000</v>
      </c>
      <c r="D65" s="9">
        <v>42481</v>
      </c>
      <c r="E65" s="10">
        <f t="shared" si="1"/>
        <v>2016</v>
      </c>
    </row>
    <row r="66" spans="1:5" x14ac:dyDescent="0.25">
      <c r="A66" s="7" t="s">
        <v>4</v>
      </c>
      <c r="B66" s="7" t="s">
        <v>70</v>
      </c>
      <c r="C66" s="8">
        <v>10000</v>
      </c>
      <c r="D66" s="9">
        <v>42481</v>
      </c>
      <c r="E66" s="10">
        <f t="shared" si="1"/>
        <v>2016</v>
      </c>
    </row>
    <row r="67" spans="1:5" x14ac:dyDescent="0.25">
      <c r="A67" s="7" t="s">
        <v>4</v>
      </c>
      <c r="B67" s="7" t="s">
        <v>11</v>
      </c>
      <c r="C67" s="8">
        <v>10000</v>
      </c>
      <c r="D67" s="9">
        <v>42481</v>
      </c>
      <c r="E67" s="10">
        <f t="shared" si="1"/>
        <v>2016</v>
      </c>
    </row>
    <row r="68" spans="1:5" x14ac:dyDescent="0.25">
      <c r="A68" s="7" t="s">
        <v>4</v>
      </c>
      <c r="B68" s="7" t="s">
        <v>71</v>
      </c>
      <c r="C68" s="8">
        <v>10000</v>
      </c>
      <c r="D68" s="9">
        <v>42481</v>
      </c>
      <c r="E68" s="10">
        <f t="shared" si="1"/>
        <v>2016</v>
      </c>
    </row>
    <row r="69" spans="1:5" x14ac:dyDescent="0.25">
      <c r="A69" s="7" t="s">
        <v>4</v>
      </c>
      <c r="B69" s="7" t="s">
        <v>25</v>
      </c>
      <c r="C69" s="8">
        <v>10000</v>
      </c>
      <c r="D69" s="9">
        <v>42481</v>
      </c>
      <c r="E69" s="10">
        <f t="shared" si="1"/>
        <v>2016</v>
      </c>
    </row>
    <row r="70" spans="1:5" x14ac:dyDescent="0.25">
      <c r="A70" s="7" t="s">
        <v>45</v>
      </c>
      <c r="B70" s="7" t="s">
        <v>46</v>
      </c>
      <c r="C70" s="8">
        <v>9451.1299999999992</v>
      </c>
      <c r="D70" s="9">
        <v>42479</v>
      </c>
      <c r="E70" s="10">
        <f t="shared" si="1"/>
        <v>2016</v>
      </c>
    </row>
    <row r="71" spans="1:5" x14ac:dyDescent="0.25">
      <c r="A71" s="7" t="s">
        <v>45</v>
      </c>
      <c r="B71" s="7" t="s">
        <v>6</v>
      </c>
      <c r="C71" s="8">
        <v>9451.1299999999992</v>
      </c>
      <c r="D71" s="9">
        <v>42476</v>
      </c>
      <c r="E71" s="10">
        <f t="shared" si="1"/>
        <v>2016</v>
      </c>
    </row>
    <row r="72" spans="1:5" x14ac:dyDescent="0.25">
      <c r="A72" s="7" t="s">
        <v>24</v>
      </c>
      <c r="B72" s="7" t="s">
        <v>72</v>
      </c>
      <c r="C72" s="8">
        <v>250</v>
      </c>
      <c r="D72" s="9">
        <v>42454</v>
      </c>
      <c r="E72" s="10">
        <f t="shared" si="1"/>
        <v>2016</v>
      </c>
    </row>
    <row r="73" spans="1:5" x14ac:dyDescent="0.25">
      <c r="A73" s="7" t="s">
        <v>24</v>
      </c>
      <c r="B73" s="7" t="s">
        <v>73</v>
      </c>
      <c r="C73" s="8">
        <v>250</v>
      </c>
      <c r="D73" s="9">
        <v>42454</v>
      </c>
      <c r="E73" s="10">
        <f t="shared" si="1"/>
        <v>2016</v>
      </c>
    </row>
    <row r="74" spans="1:5" x14ac:dyDescent="0.25">
      <c r="A74" s="7" t="s">
        <v>24</v>
      </c>
      <c r="B74" s="7" t="s">
        <v>74</v>
      </c>
      <c r="C74" s="8">
        <v>250</v>
      </c>
      <c r="D74" s="9">
        <v>42454</v>
      </c>
      <c r="E74" s="10">
        <f t="shared" si="1"/>
        <v>2016</v>
      </c>
    </row>
    <row r="75" spans="1:5" x14ac:dyDescent="0.25">
      <c r="A75" s="7" t="s">
        <v>41</v>
      </c>
      <c r="B75" s="7" t="s">
        <v>21</v>
      </c>
      <c r="C75" s="8">
        <v>5000</v>
      </c>
      <c r="D75" s="9">
        <v>42418</v>
      </c>
      <c r="E75" s="10">
        <f t="shared" si="1"/>
        <v>2016</v>
      </c>
    </row>
    <row r="76" spans="1:5" x14ac:dyDescent="0.25">
      <c r="A76" s="7" t="s">
        <v>41</v>
      </c>
      <c r="B76" s="7" t="s">
        <v>44</v>
      </c>
      <c r="C76" s="8">
        <v>10000</v>
      </c>
      <c r="D76" s="9">
        <v>42418</v>
      </c>
      <c r="E76" s="10">
        <f t="shared" si="1"/>
        <v>2016</v>
      </c>
    </row>
    <row r="77" spans="1:5" x14ac:dyDescent="0.25">
      <c r="A77" s="7" t="s">
        <v>41</v>
      </c>
      <c r="B77" s="7" t="s">
        <v>75</v>
      </c>
      <c r="C77" s="8">
        <v>5000</v>
      </c>
      <c r="D77" s="9">
        <v>42409</v>
      </c>
      <c r="E77" s="10">
        <f t="shared" si="1"/>
        <v>2016</v>
      </c>
    </row>
    <row r="78" spans="1:5" x14ac:dyDescent="0.25">
      <c r="A78" s="7" t="s">
        <v>41</v>
      </c>
      <c r="B78" s="7" t="s">
        <v>42</v>
      </c>
      <c r="C78" s="8">
        <v>10000</v>
      </c>
      <c r="D78" s="9">
        <v>42402</v>
      </c>
      <c r="E78" s="10">
        <f t="shared" si="1"/>
        <v>2016</v>
      </c>
    </row>
    <row r="79" spans="1:5" x14ac:dyDescent="0.25">
      <c r="A79" s="7" t="s">
        <v>41</v>
      </c>
      <c r="B79" s="7" t="s">
        <v>76</v>
      </c>
      <c r="C79" s="8">
        <v>10000</v>
      </c>
      <c r="D79" s="9">
        <v>42402</v>
      </c>
      <c r="E79" s="10">
        <f t="shared" si="1"/>
        <v>2016</v>
      </c>
    </row>
    <row r="80" spans="1:5" x14ac:dyDescent="0.25">
      <c r="A80" s="7" t="s">
        <v>24</v>
      </c>
      <c r="B80" s="7" t="s">
        <v>74</v>
      </c>
      <c r="C80" s="8">
        <v>10000</v>
      </c>
      <c r="D80" s="9">
        <v>42397</v>
      </c>
      <c r="E80" s="10">
        <f t="shared" si="1"/>
        <v>2016</v>
      </c>
    </row>
    <row r="81" spans="1:5" x14ac:dyDescent="0.25">
      <c r="A81" s="7" t="s">
        <v>24</v>
      </c>
      <c r="B81" s="7" t="s">
        <v>6</v>
      </c>
      <c r="C81" s="8">
        <v>10000</v>
      </c>
      <c r="D81" s="9">
        <v>42397</v>
      </c>
      <c r="E81" s="10">
        <f t="shared" si="1"/>
        <v>2016</v>
      </c>
    </row>
    <row r="82" spans="1:5" x14ac:dyDescent="0.25">
      <c r="A82" s="7" t="s">
        <v>24</v>
      </c>
      <c r="B82" s="7" t="s">
        <v>72</v>
      </c>
      <c r="C82" s="8">
        <v>10000</v>
      </c>
      <c r="D82" s="9">
        <v>42397</v>
      </c>
      <c r="E82" s="10">
        <f t="shared" si="1"/>
        <v>2016</v>
      </c>
    </row>
    <row r="83" spans="1:5" x14ac:dyDescent="0.25">
      <c r="A83" s="7" t="s">
        <v>24</v>
      </c>
      <c r="B83" s="7" t="s">
        <v>39</v>
      </c>
      <c r="C83" s="8">
        <v>10000</v>
      </c>
      <c r="D83" s="9">
        <v>42397</v>
      </c>
      <c r="E83" s="10">
        <f t="shared" si="1"/>
        <v>2016</v>
      </c>
    </row>
    <row r="84" spans="1:5" x14ac:dyDescent="0.25">
      <c r="A84" s="7" t="s">
        <v>24</v>
      </c>
      <c r="B84" s="7" t="s">
        <v>46</v>
      </c>
      <c r="C84" s="8">
        <v>10000</v>
      </c>
      <c r="D84" s="9">
        <v>42397</v>
      </c>
      <c r="E84" s="10">
        <f t="shared" si="1"/>
        <v>2016</v>
      </c>
    </row>
    <row r="85" spans="1:5" x14ac:dyDescent="0.25">
      <c r="A85" s="7" t="s">
        <v>24</v>
      </c>
      <c r="B85" s="7" t="s">
        <v>73</v>
      </c>
      <c r="C85" s="8">
        <v>10000</v>
      </c>
      <c r="D85" s="9">
        <v>42397</v>
      </c>
      <c r="E85" s="10">
        <f t="shared" si="1"/>
        <v>2016</v>
      </c>
    </row>
    <row r="86" spans="1:5" x14ac:dyDescent="0.25">
      <c r="A86" s="7" t="s">
        <v>24</v>
      </c>
      <c r="B86" s="7" t="s">
        <v>26</v>
      </c>
      <c r="C86" s="8">
        <v>10000</v>
      </c>
      <c r="D86" s="9">
        <v>42397</v>
      </c>
      <c r="E86" s="10">
        <f t="shared" si="1"/>
        <v>2016</v>
      </c>
    </row>
    <row r="87" spans="1:5" x14ac:dyDescent="0.25">
      <c r="A87" s="7" t="s">
        <v>4</v>
      </c>
      <c r="B87" s="7" t="s">
        <v>77</v>
      </c>
      <c r="C87" s="8">
        <v>10000</v>
      </c>
      <c r="D87" s="9">
        <v>42391</v>
      </c>
      <c r="E87" s="10">
        <f t="shared" si="1"/>
        <v>2016</v>
      </c>
    </row>
    <row r="88" spans="1:5" x14ac:dyDescent="0.25">
      <c r="A88" s="7" t="s">
        <v>4</v>
      </c>
      <c r="B88" s="7" t="s">
        <v>78</v>
      </c>
      <c r="C88" s="8">
        <v>10000</v>
      </c>
      <c r="D88" s="9">
        <v>42391</v>
      </c>
      <c r="E88" s="10">
        <f t="shared" si="1"/>
        <v>2016</v>
      </c>
    </row>
    <row r="89" spans="1:5" x14ac:dyDescent="0.25">
      <c r="A89" s="7" t="s">
        <v>4</v>
      </c>
      <c r="B89" s="7" t="s">
        <v>79</v>
      </c>
      <c r="C89" s="8">
        <v>10000</v>
      </c>
      <c r="D89" s="9">
        <v>42391</v>
      </c>
      <c r="E89" s="10">
        <f t="shared" si="1"/>
        <v>2016</v>
      </c>
    </row>
    <row r="90" spans="1:5" x14ac:dyDescent="0.25">
      <c r="A90" s="7" t="s">
        <v>4</v>
      </c>
      <c r="B90" s="7" t="s">
        <v>80</v>
      </c>
      <c r="C90" s="8">
        <v>10000</v>
      </c>
      <c r="D90" s="9">
        <v>42391</v>
      </c>
      <c r="E90" s="10">
        <f t="shared" si="1"/>
        <v>2016</v>
      </c>
    </row>
    <row r="91" spans="1:5" x14ac:dyDescent="0.25">
      <c r="A91" s="7" t="s">
        <v>4</v>
      </c>
      <c r="B91" s="7" t="s">
        <v>81</v>
      </c>
      <c r="C91" s="8">
        <v>10000</v>
      </c>
      <c r="D91" s="9">
        <v>42391</v>
      </c>
      <c r="E91" s="10">
        <f t="shared" si="1"/>
        <v>2016</v>
      </c>
    </row>
    <row r="92" spans="1:5" x14ac:dyDescent="0.25">
      <c r="A92" s="7" t="s">
        <v>4</v>
      </c>
      <c r="B92" s="7" t="s">
        <v>82</v>
      </c>
      <c r="C92" s="8">
        <v>10000</v>
      </c>
      <c r="D92" s="9">
        <v>42391</v>
      </c>
      <c r="E92" s="10">
        <f t="shared" si="1"/>
        <v>2016</v>
      </c>
    </row>
    <row r="93" spans="1:5" x14ac:dyDescent="0.25">
      <c r="A93" s="7" t="s">
        <v>4</v>
      </c>
      <c r="B93" s="7" t="s">
        <v>83</v>
      </c>
      <c r="C93" s="8">
        <v>10000</v>
      </c>
      <c r="D93" s="9">
        <v>42391</v>
      </c>
      <c r="E93" s="10">
        <f t="shared" si="1"/>
        <v>2016</v>
      </c>
    </row>
    <row r="94" spans="1:5" x14ac:dyDescent="0.25">
      <c r="A94" s="7" t="s">
        <v>4</v>
      </c>
      <c r="B94" s="7" t="s">
        <v>61</v>
      </c>
      <c r="C94" s="8">
        <v>10000</v>
      </c>
      <c r="D94" s="9">
        <v>42391</v>
      </c>
      <c r="E94" s="10">
        <f t="shared" si="1"/>
        <v>2016</v>
      </c>
    </row>
    <row r="95" spans="1:5" x14ac:dyDescent="0.25">
      <c r="A95" s="7" t="s">
        <v>4</v>
      </c>
      <c r="B95" s="7" t="s">
        <v>84</v>
      </c>
      <c r="C95" s="8">
        <v>10000</v>
      </c>
      <c r="D95" s="9">
        <v>42391</v>
      </c>
      <c r="E95" s="10">
        <f t="shared" si="1"/>
        <v>2016</v>
      </c>
    </row>
    <row r="96" spans="1:5" x14ac:dyDescent="0.25">
      <c r="A96" s="7" t="s">
        <v>4</v>
      </c>
      <c r="B96" s="7" t="s">
        <v>85</v>
      </c>
      <c r="C96" s="8">
        <v>10000</v>
      </c>
      <c r="D96" s="9">
        <v>42391</v>
      </c>
      <c r="E96" s="10">
        <f t="shared" si="1"/>
        <v>2016</v>
      </c>
    </row>
    <row r="97" spans="1:5" x14ac:dyDescent="0.25">
      <c r="A97" s="7" t="s">
        <v>4</v>
      </c>
      <c r="B97" s="7" t="s">
        <v>86</v>
      </c>
      <c r="C97" s="8">
        <v>10000</v>
      </c>
      <c r="D97" s="9">
        <v>42391</v>
      </c>
      <c r="E97" s="10">
        <f t="shared" si="1"/>
        <v>2016</v>
      </c>
    </row>
    <row r="98" spans="1:5" x14ac:dyDescent="0.25">
      <c r="A98" s="7" t="s">
        <v>4</v>
      </c>
      <c r="B98" s="7" t="s">
        <v>87</v>
      </c>
      <c r="C98" s="8">
        <v>10000</v>
      </c>
      <c r="D98" s="9">
        <v>42391</v>
      </c>
      <c r="E98" s="10">
        <f t="shared" si="1"/>
        <v>2016</v>
      </c>
    </row>
    <row r="99" spans="1:5" x14ac:dyDescent="0.25">
      <c r="A99" s="7" t="s">
        <v>4</v>
      </c>
      <c r="B99" s="7" t="s">
        <v>88</v>
      </c>
      <c r="C99" s="8">
        <v>10000</v>
      </c>
      <c r="D99" s="9">
        <v>42391</v>
      </c>
      <c r="E99" s="10">
        <f t="shared" si="1"/>
        <v>2016</v>
      </c>
    </row>
    <row r="100" spans="1:5" x14ac:dyDescent="0.25">
      <c r="A100" s="7" t="s">
        <v>4</v>
      </c>
      <c r="B100" s="7" t="s">
        <v>89</v>
      </c>
      <c r="C100" s="8">
        <v>9950</v>
      </c>
      <c r="D100" s="9">
        <v>42391</v>
      </c>
      <c r="E100" s="10">
        <f t="shared" si="1"/>
        <v>2016</v>
      </c>
    </row>
    <row r="101" spans="1:5" x14ac:dyDescent="0.25">
      <c r="A101" s="7" t="s">
        <v>45</v>
      </c>
      <c r="B101" s="7" t="s">
        <v>46</v>
      </c>
      <c r="C101" s="8">
        <v>42963</v>
      </c>
      <c r="D101" s="9">
        <v>42384</v>
      </c>
      <c r="E101" s="10">
        <f t="shared" si="1"/>
        <v>2016</v>
      </c>
    </row>
    <row r="102" spans="1:5" x14ac:dyDescent="0.25">
      <c r="A102" s="7" t="s">
        <v>45</v>
      </c>
      <c r="B102" s="7" t="s">
        <v>6</v>
      </c>
      <c r="C102" s="8">
        <v>42963</v>
      </c>
      <c r="D102" s="9">
        <v>42384</v>
      </c>
      <c r="E102" s="10">
        <f t="shared" si="1"/>
        <v>2016</v>
      </c>
    </row>
    <row r="103" spans="1:5" x14ac:dyDescent="0.25">
      <c r="A103" s="7" t="s">
        <v>24</v>
      </c>
      <c r="B103" s="7" t="s">
        <v>46</v>
      </c>
      <c r="C103" s="8">
        <v>250</v>
      </c>
      <c r="D103" s="9">
        <v>42261</v>
      </c>
      <c r="E103" s="10">
        <f t="shared" si="1"/>
        <v>2015</v>
      </c>
    </row>
    <row r="104" spans="1:5" x14ac:dyDescent="0.25">
      <c r="A104" s="7" t="s">
        <v>24</v>
      </c>
      <c r="B104" s="7" t="s">
        <v>39</v>
      </c>
      <c r="C104" s="8">
        <v>250</v>
      </c>
      <c r="D104" s="9">
        <v>42261</v>
      </c>
      <c r="E104" s="10">
        <f t="shared" si="1"/>
        <v>2015</v>
      </c>
    </row>
    <row r="105" spans="1:5" x14ac:dyDescent="0.25">
      <c r="A105" s="7" t="s">
        <v>24</v>
      </c>
      <c r="B105" s="7" t="s">
        <v>90</v>
      </c>
      <c r="C105" s="8">
        <v>250</v>
      </c>
      <c r="D105" s="9">
        <v>42261</v>
      </c>
      <c r="E105" s="10">
        <f t="shared" ref="E105:E147" si="2">YEAR(D105)</f>
        <v>2015</v>
      </c>
    </row>
    <row r="106" spans="1:5" x14ac:dyDescent="0.25">
      <c r="A106" s="7" t="s">
        <v>24</v>
      </c>
      <c r="B106" s="7" t="s">
        <v>81</v>
      </c>
      <c r="C106" s="8">
        <v>250</v>
      </c>
      <c r="D106" s="9">
        <v>42261</v>
      </c>
      <c r="E106" s="10">
        <f t="shared" si="2"/>
        <v>2015</v>
      </c>
    </row>
    <row r="107" spans="1:5" x14ac:dyDescent="0.25">
      <c r="A107" s="7" t="s">
        <v>4</v>
      </c>
      <c r="B107" s="7" t="s">
        <v>91</v>
      </c>
      <c r="C107" s="8">
        <v>7940</v>
      </c>
      <c r="D107" s="9">
        <v>42244</v>
      </c>
      <c r="E107" s="10">
        <f t="shared" si="2"/>
        <v>2015</v>
      </c>
    </row>
    <row r="108" spans="1:5" x14ac:dyDescent="0.25">
      <c r="A108" s="7" t="s">
        <v>4</v>
      </c>
      <c r="B108" s="7" t="s">
        <v>92</v>
      </c>
      <c r="C108" s="8">
        <v>10000</v>
      </c>
      <c r="D108" s="9">
        <v>42244</v>
      </c>
      <c r="E108" s="10">
        <f t="shared" si="2"/>
        <v>2015</v>
      </c>
    </row>
    <row r="109" spans="1:5" x14ac:dyDescent="0.25">
      <c r="A109" s="7" t="s">
        <v>4</v>
      </c>
      <c r="B109" s="7" t="s">
        <v>93</v>
      </c>
      <c r="C109" s="8">
        <v>10000</v>
      </c>
      <c r="D109" s="9">
        <v>42244</v>
      </c>
      <c r="E109" s="10">
        <f t="shared" si="2"/>
        <v>2015</v>
      </c>
    </row>
    <row r="110" spans="1:5" x14ac:dyDescent="0.25">
      <c r="A110" s="7" t="s">
        <v>4</v>
      </c>
      <c r="B110" s="7" t="s">
        <v>39</v>
      </c>
      <c r="C110" s="8">
        <v>10000</v>
      </c>
      <c r="D110" s="9">
        <v>42244</v>
      </c>
      <c r="E110" s="10">
        <f t="shared" si="2"/>
        <v>2015</v>
      </c>
    </row>
    <row r="111" spans="1:5" x14ac:dyDescent="0.25">
      <c r="A111" s="7" t="s">
        <v>4</v>
      </c>
      <c r="B111" s="7" t="s">
        <v>94</v>
      </c>
      <c r="C111" s="8">
        <v>10000</v>
      </c>
      <c r="D111" s="9">
        <v>42244</v>
      </c>
      <c r="E111" s="10">
        <f t="shared" si="2"/>
        <v>2015</v>
      </c>
    </row>
    <row r="112" spans="1:5" x14ac:dyDescent="0.25">
      <c r="A112" s="7" t="s">
        <v>4</v>
      </c>
      <c r="B112" s="7" t="s">
        <v>95</v>
      </c>
      <c r="C112" s="8">
        <v>7500</v>
      </c>
      <c r="D112" s="9">
        <v>42244</v>
      </c>
      <c r="E112" s="10">
        <f t="shared" si="2"/>
        <v>2015</v>
      </c>
    </row>
    <row r="113" spans="1:5" x14ac:dyDescent="0.25">
      <c r="A113" s="7" t="s">
        <v>4</v>
      </c>
      <c r="B113" s="7" t="s">
        <v>96</v>
      </c>
      <c r="C113" s="8">
        <v>10000</v>
      </c>
      <c r="D113" s="9">
        <v>42244</v>
      </c>
      <c r="E113" s="10">
        <f t="shared" si="2"/>
        <v>2015</v>
      </c>
    </row>
    <row r="114" spans="1:5" x14ac:dyDescent="0.25">
      <c r="A114" s="7" t="s">
        <v>4</v>
      </c>
      <c r="B114" s="7" t="s">
        <v>97</v>
      </c>
      <c r="C114" s="8">
        <v>10000</v>
      </c>
      <c r="D114" s="9">
        <v>42244</v>
      </c>
      <c r="E114" s="10">
        <f t="shared" si="2"/>
        <v>2015</v>
      </c>
    </row>
    <row r="115" spans="1:5" x14ac:dyDescent="0.25">
      <c r="A115" s="7" t="s">
        <v>4</v>
      </c>
      <c r="B115" s="7" t="s">
        <v>74</v>
      </c>
      <c r="C115" s="8">
        <v>10000</v>
      </c>
      <c r="D115" s="9">
        <v>42244</v>
      </c>
      <c r="E115" s="10">
        <f t="shared" si="2"/>
        <v>2015</v>
      </c>
    </row>
    <row r="116" spans="1:5" x14ac:dyDescent="0.25">
      <c r="A116" s="7" t="s">
        <v>4</v>
      </c>
      <c r="B116" s="7" t="s">
        <v>98</v>
      </c>
      <c r="C116" s="8">
        <v>10000</v>
      </c>
      <c r="D116" s="9">
        <v>42244</v>
      </c>
      <c r="E116" s="10">
        <f t="shared" si="2"/>
        <v>2015</v>
      </c>
    </row>
    <row r="117" spans="1:5" x14ac:dyDescent="0.25">
      <c r="A117" s="7" t="s">
        <v>4</v>
      </c>
      <c r="B117" s="7" t="s">
        <v>27</v>
      </c>
      <c r="C117" s="8">
        <v>10000</v>
      </c>
      <c r="D117" s="9">
        <v>42244</v>
      </c>
      <c r="E117" s="10">
        <f t="shared" si="2"/>
        <v>2015</v>
      </c>
    </row>
    <row r="118" spans="1:5" x14ac:dyDescent="0.25">
      <c r="A118" s="7" t="s">
        <v>4</v>
      </c>
      <c r="B118" s="7" t="s">
        <v>99</v>
      </c>
      <c r="C118" s="8">
        <v>10000</v>
      </c>
      <c r="D118" s="9">
        <v>42244</v>
      </c>
      <c r="E118" s="10">
        <f t="shared" si="2"/>
        <v>2015</v>
      </c>
    </row>
    <row r="119" spans="1:5" x14ac:dyDescent="0.25">
      <c r="A119" s="7" t="s">
        <v>4</v>
      </c>
      <c r="B119" s="7" t="s">
        <v>100</v>
      </c>
      <c r="C119" s="8">
        <v>10000</v>
      </c>
      <c r="D119" s="9">
        <v>42244</v>
      </c>
      <c r="E119" s="10">
        <f t="shared" si="2"/>
        <v>2015</v>
      </c>
    </row>
    <row r="120" spans="1:5" x14ac:dyDescent="0.25">
      <c r="A120" s="7" t="s">
        <v>4</v>
      </c>
      <c r="B120" s="7" t="s">
        <v>101</v>
      </c>
      <c r="C120" s="8">
        <v>10000</v>
      </c>
      <c r="D120" s="9">
        <v>42244</v>
      </c>
      <c r="E120" s="10">
        <f t="shared" si="2"/>
        <v>2015</v>
      </c>
    </row>
    <row r="121" spans="1:5" x14ac:dyDescent="0.25">
      <c r="A121" s="7" t="s">
        <v>4</v>
      </c>
      <c r="B121" s="7" t="s">
        <v>59</v>
      </c>
      <c r="C121" s="8">
        <v>10000</v>
      </c>
      <c r="D121" s="9">
        <v>42244</v>
      </c>
      <c r="E121" s="10">
        <f t="shared" si="2"/>
        <v>2015</v>
      </c>
    </row>
    <row r="122" spans="1:5" x14ac:dyDescent="0.25">
      <c r="A122" s="7" t="s">
        <v>102</v>
      </c>
      <c r="B122" s="7" t="s">
        <v>46</v>
      </c>
      <c r="C122" s="8">
        <v>10000</v>
      </c>
      <c r="D122" s="9">
        <v>42178</v>
      </c>
      <c r="E122" s="10">
        <f t="shared" si="2"/>
        <v>2015</v>
      </c>
    </row>
    <row r="123" spans="1:5" x14ac:dyDescent="0.25">
      <c r="A123" s="7" t="s">
        <v>102</v>
      </c>
      <c r="B123" s="7" t="s">
        <v>39</v>
      </c>
      <c r="C123" s="8">
        <v>10000</v>
      </c>
      <c r="D123" s="9">
        <v>42178</v>
      </c>
      <c r="E123" s="10">
        <f t="shared" si="2"/>
        <v>2015</v>
      </c>
    </row>
    <row r="124" spans="1:5" x14ac:dyDescent="0.25">
      <c r="A124" s="7" t="s">
        <v>102</v>
      </c>
      <c r="B124" s="7" t="s">
        <v>26</v>
      </c>
      <c r="C124" s="8">
        <v>10000</v>
      </c>
      <c r="D124" s="9">
        <v>42178</v>
      </c>
      <c r="E124" s="10">
        <f t="shared" si="2"/>
        <v>2015</v>
      </c>
    </row>
    <row r="125" spans="1:5" x14ac:dyDescent="0.25">
      <c r="A125" s="7" t="s">
        <v>102</v>
      </c>
      <c r="B125" s="7" t="s">
        <v>52</v>
      </c>
      <c r="C125" s="8">
        <v>10000</v>
      </c>
      <c r="D125" s="9">
        <v>42178</v>
      </c>
      <c r="E125" s="10">
        <f t="shared" si="2"/>
        <v>2015</v>
      </c>
    </row>
    <row r="126" spans="1:5" x14ac:dyDescent="0.25">
      <c r="A126" s="7" t="s">
        <v>102</v>
      </c>
      <c r="B126" s="7" t="s">
        <v>103</v>
      </c>
      <c r="C126" s="8">
        <v>10000</v>
      </c>
      <c r="D126" s="9">
        <v>42178</v>
      </c>
      <c r="E126" s="10">
        <f t="shared" si="2"/>
        <v>2015</v>
      </c>
    </row>
    <row r="127" spans="1:5" x14ac:dyDescent="0.25">
      <c r="A127" s="7" t="s">
        <v>102</v>
      </c>
      <c r="B127" s="7" t="s">
        <v>104</v>
      </c>
      <c r="C127" s="8">
        <v>10000</v>
      </c>
      <c r="D127" s="9">
        <v>42178</v>
      </c>
      <c r="E127" s="10">
        <f t="shared" si="2"/>
        <v>2015</v>
      </c>
    </row>
    <row r="128" spans="1:5" x14ac:dyDescent="0.25">
      <c r="A128" s="7" t="s">
        <v>102</v>
      </c>
      <c r="B128" s="7" t="s">
        <v>105</v>
      </c>
      <c r="C128" s="8">
        <v>10000</v>
      </c>
      <c r="D128" s="9">
        <v>42178</v>
      </c>
      <c r="E128" s="10">
        <f t="shared" si="2"/>
        <v>2015</v>
      </c>
    </row>
    <row r="129" spans="1:5" x14ac:dyDescent="0.25">
      <c r="A129" s="7" t="s">
        <v>102</v>
      </c>
      <c r="B129" s="7" t="s">
        <v>11</v>
      </c>
      <c r="C129" s="8">
        <v>10000</v>
      </c>
      <c r="D129" s="9">
        <v>42178</v>
      </c>
      <c r="E129" s="10">
        <f t="shared" si="2"/>
        <v>2015</v>
      </c>
    </row>
    <row r="130" spans="1:5" x14ac:dyDescent="0.25">
      <c r="A130" s="7" t="s">
        <v>102</v>
      </c>
      <c r="B130" s="7" t="s">
        <v>31</v>
      </c>
      <c r="C130" s="8">
        <v>10000</v>
      </c>
      <c r="D130" s="9">
        <v>42178</v>
      </c>
      <c r="E130" s="10">
        <f t="shared" si="2"/>
        <v>2015</v>
      </c>
    </row>
    <row r="131" spans="1:5" x14ac:dyDescent="0.25">
      <c r="A131" s="7" t="s">
        <v>102</v>
      </c>
      <c r="B131" s="7" t="s">
        <v>90</v>
      </c>
      <c r="C131" s="8">
        <v>10000</v>
      </c>
      <c r="D131" s="9">
        <v>42178</v>
      </c>
      <c r="E131" s="10">
        <f t="shared" si="2"/>
        <v>2015</v>
      </c>
    </row>
    <row r="132" spans="1:5" x14ac:dyDescent="0.25">
      <c r="A132" s="7" t="s">
        <v>102</v>
      </c>
      <c r="B132" s="7" t="s">
        <v>81</v>
      </c>
      <c r="C132" s="8">
        <v>10000</v>
      </c>
      <c r="D132" s="9">
        <v>42178</v>
      </c>
      <c r="E132" s="10">
        <f t="shared" si="2"/>
        <v>2015</v>
      </c>
    </row>
    <row r="133" spans="1:5" x14ac:dyDescent="0.25">
      <c r="A133" s="7" t="s">
        <v>102</v>
      </c>
      <c r="B133" s="7" t="s">
        <v>12</v>
      </c>
      <c r="C133" s="8">
        <v>10000</v>
      </c>
      <c r="D133" s="9">
        <v>42178</v>
      </c>
      <c r="E133" s="10">
        <f t="shared" si="2"/>
        <v>2015</v>
      </c>
    </row>
    <row r="134" spans="1:5" x14ac:dyDescent="0.25">
      <c r="A134" s="7" t="s">
        <v>102</v>
      </c>
      <c r="B134" s="7" t="s">
        <v>106</v>
      </c>
      <c r="C134" s="8">
        <v>10000</v>
      </c>
      <c r="D134" s="9">
        <v>42178</v>
      </c>
      <c r="E134" s="10">
        <f t="shared" si="2"/>
        <v>2015</v>
      </c>
    </row>
    <row r="135" spans="1:5" x14ac:dyDescent="0.25">
      <c r="A135" s="7" t="s">
        <v>4</v>
      </c>
      <c r="B135" s="7" t="s">
        <v>107</v>
      </c>
      <c r="C135" s="8">
        <v>10000</v>
      </c>
      <c r="D135" s="9">
        <v>42123</v>
      </c>
      <c r="E135" s="10">
        <f t="shared" si="2"/>
        <v>2015</v>
      </c>
    </row>
    <row r="136" spans="1:5" x14ac:dyDescent="0.25">
      <c r="A136" s="7" t="s">
        <v>4</v>
      </c>
      <c r="B136" s="7" t="s">
        <v>37</v>
      </c>
      <c r="C136" s="8">
        <v>10000</v>
      </c>
      <c r="D136" s="9">
        <v>42123</v>
      </c>
      <c r="E136" s="10">
        <f t="shared" si="2"/>
        <v>2015</v>
      </c>
    </row>
    <row r="137" spans="1:5" x14ac:dyDescent="0.25">
      <c r="A137" s="7" t="s">
        <v>4</v>
      </c>
      <c r="B137" s="7" t="s">
        <v>108</v>
      </c>
      <c r="C137" s="8">
        <v>10000</v>
      </c>
      <c r="D137" s="9">
        <v>42123</v>
      </c>
      <c r="E137" s="10">
        <f t="shared" si="2"/>
        <v>2015</v>
      </c>
    </row>
    <row r="138" spans="1:5" x14ac:dyDescent="0.25">
      <c r="A138" s="7" t="s">
        <v>4</v>
      </c>
      <c r="B138" s="7" t="s">
        <v>109</v>
      </c>
      <c r="C138" s="8">
        <v>10000</v>
      </c>
      <c r="D138" s="9">
        <v>42123</v>
      </c>
      <c r="E138" s="10">
        <f t="shared" si="2"/>
        <v>2015</v>
      </c>
    </row>
    <row r="139" spans="1:5" x14ac:dyDescent="0.25">
      <c r="A139" s="7" t="s">
        <v>4</v>
      </c>
      <c r="B139" s="7" t="s">
        <v>110</v>
      </c>
      <c r="C139" s="8">
        <v>4500</v>
      </c>
      <c r="D139" s="9">
        <v>42123</v>
      </c>
      <c r="E139" s="10">
        <f t="shared" si="2"/>
        <v>2015</v>
      </c>
    </row>
    <row r="140" spans="1:5" x14ac:dyDescent="0.25">
      <c r="A140" s="7" t="s">
        <v>4</v>
      </c>
      <c r="B140" s="7" t="s">
        <v>42</v>
      </c>
      <c r="C140" s="8">
        <v>10000</v>
      </c>
      <c r="D140" s="9">
        <v>42123</v>
      </c>
      <c r="E140" s="10">
        <f t="shared" si="2"/>
        <v>2015</v>
      </c>
    </row>
    <row r="141" spans="1:5" x14ac:dyDescent="0.25">
      <c r="A141" s="7" t="s">
        <v>4</v>
      </c>
      <c r="B141" s="7" t="s">
        <v>54</v>
      </c>
      <c r="C141" s="8">
        <v>10000</v>
      </c>
      <c r="D141" s="9">
        <v>42123</v>
      </c>
      <c r="E141" s="10">
        <f t="shared" si="2"/>
        <v>2015</v>
      </c>
    </row>
    <row r="142" spans="1:5" x14ac:dyDescent="0.25">
      <c r="A142" s="7" t="s">
        <v>4</v>
      </c>
      <c r="B142" s="7" t="s">
        <v>111</v>
      </c>
      <c r="C142" s="8">
        <v>10000</v>
      </c>
      <c r="D142" s="9">
        <v>42123</v>
      </c>
      <c r="E142" s="10">
        <f t="shared" si="2"/>
        <v>2015</v>
      </c>
    </row>
    <row r="143" spans="1:5" x14ac:dyDescent="0.25">
      <c r="A143" s="7" t="s">
        <v>4</v>
      </c>
      <c r="B143" s="7" t="s">
        <v>31</v>
      </c>
      <c r="C143" s="8">
        <v>10000</v>
      </c>
      <c r="D143" s="9">
        <v>42123</v>
      </c>
      <c r="E143" s="10">
        <f t="shared" si="2"/>
        <v>2015</v>
      </c>
    </row>
    <row r="144" spans="1:5" x14ac:dyDescent="0.25">
      <c r="A144" s="7" t="s">
        <v>4</v>
      </c>
      <c r="B144" s="7" t="s">
        <v>90</v>
      </c>
      <c r="C144" s="8">
        <v>10000</v>
      </c>
      <c r="D144" s="9">
        <v>42123</v>
      </c>
      <c r="E144" s="10">
        <f t="shared" si="2"/>
        <v>2015</v>
      </c>
    </row>
    <row r="145" spans="1:5" x14ac:dyDescent="0.25">
      <c r="A145" s="7" t="s">
        <v>4</v>
      </c>
      <c r="B145" s="7" t="s">
        <v>112</v>
      </c>
      <c r="C145" s="8">
        <v>10000</v>
      </c>
      <c r="D145" s="9">
        <v>42123</v>
      </c>
      <c r="E145" s="10">
        <f t="shared" si="2"/>
        <v>2015</v>
      </c>
    </row>
    <row r="146" spans="1:5" x14ac:dyDescent="0.25">
      <c r="A146" s="7" t="s">
        <v>4</v>
      </c>
      <c r="B146" s="7" t="s">
        <v>113</v>
      </c>
      <c r="C146" s="8">
        <v>10000</v>
      </c>
      <c r="D146" s="9">
        <v>42123</v>
      </c>
      <c r="E146" s="10">
        <f t="shared" si="2"/>
        <v>2015</v>
      </c>
    </row>
    <row r="147" spans="1:5" x14ac:dyDescent="0.25">
      <c r="A147" s="7" t="s">
        <v>45</v>
      </c>
      <c r="B147" s="7" t="s">
        <v>114</v>
      </c>
      <c r="C147" s="8">
        <v>15000</v>
      </c>
      <c r="D147" s="9">
        <v>42009</v>
      </c>
      <c r="E147" s="10">
        <f t="shared" si="2"/>
        <v>2015</v>
      </c>
    </row>
  </sheetData>
  <conditionalFormatting sqref="B1:B147">
    <cfRule type="duplicateValues" dxfId="9" priority="374" stopIfTrue="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779"/>
  <sheetViews>
    <sheetView topLeftCell="A446" workbookViewId="0">
      <selection activeCell="B452" sqref="B452"/>
    </sheetView>
  </sheetViews>
  <sheetFormatPr defaultRowHeight="15" x14ac:dyDescent="0.25"/>
  <cols>
    <col min="1" max="1" width="63.140625" bestFit="1" customWidth="1"/>
    <col min="2" max="2" width="71.85546875" customWidth="1"/>
    <col min="3" max="3" width="25.85546875" customWidth="1"/>
    <col min="4" max="4" width="68" customWidth="1"/>
  </cols>
  <sheetData>
    <row r="1" spans="1:4" x14ac:dyDescent="0.25">
      <c r="A1" s="12" t="s">
        <v>115</v>
      </c>
      <c r="B1" s="12" t="s">
        <v>116</v>
      </c>
      <c r="C1" s="12" t="s">
        <v>501</v>
      </c>
      <c r="D1" s="12" t="s">
        <v>591</v>
      </c>
    </row>
    <row r="2" spans="1:4" x14ac:dyDescent="0.25">
      <c r="A2" t="s">
        <v>938</v>
      </c>
      <c r="B2" t="s">
        <v>939</v>
      </c>
      <c r="C2" t="s">
        <v>506</v>
      </c>
      <c r="D2" t="str">
        <f t="shared" ref="D2:D65" si="0">_xlfn.CONCAT(B2,", ",C2)</f>
        <v>1031 West 7th Street, St. Paul, MN</v>
      </c>
    </row>
    <row r="3" spans="1:4" x14ac:dyDescent="0.25">
      <c r="A3" t="s">
        <v>118</v>
      </c>
      <c r="B3" t="s">
        <v>119</v>
      </c>
      <c r="C3" t="s">
        <v>502</v>
      </c>
      <c r="D3" t="str">
        <f t="shared" si="0"/>
        <v>3029 Chicago Ave., Minneapolis, MN</v>
      </c>
    </row>
    <row r="4" spans="1:4" x14ac:dyDescent="0.25">
      <c r="A4" t="s">
        <v>655</v>
      </c>
      <c r="B4" t="s">
        <v>656</v>
      </c>
      <c r="C4" t="s">
        <v>502</v>
      </c>
      <c r="D4" t="str">
        <f t="shared" si="0"/>
        <v>236 Clifton Ave. So., Minneapolis, MN</v>
      </c>
    </row>
    <row r="5" spans="1:4" x14ac:dyDescent="0.25">
      <c r="A5" t="s">
        <v>120</v>
      </c>
      <c r="B5" t="s">
        <v>121</v>
      </c>
      <c r="C5" t="s">
        <v>503</v>
      </c>
      <c r="D5" t="str">
        <f t="shared" si="0"/>
        <v>601 Bayview, Madison, WI</v>
      </c>
    </row>
    <row r="6" spans="1:4" x14ac:dyDescent="0.25">
      <c r="A6" t="s">
        <v>940</v>
      </c>
      <c r="B6" t="s">
        <v>941</v>
      </c>
      <c r="C6" t="s">
        <v>506</v>
      </c>
      <c r="D6" t="str">
        <f t="shared" si="0"/>
        <v>550 Rice Street, St. Paul, MN</v>
      </c>
    </row>
    <row r="7" spans="1:4" x14ac:dyDescent="0.25">
      <c r="A7" t="s">
        <v>478</v>
      </c>
      <c r="B7" t="s">
        <v>479</v>
      </c>
      <c r="C7" t="s">
        <v>502</v>
      </c>
      <c r="D7" t="str">
        <f t="shared" si="0"/>
        <v>4618 Clinton Ave, Minneapolis, Minneapolis, MN</v>
      </c>
    </row>
    <row r="8" spans="1:4" x14ac:dyDescent="0.25">
      <c r="A8" t="s">
        <v>944</v>
      </c>
      <c r="B8" t="s">
        <v>945</v>
      </c>
      <c r="C8" t="s">
        <v>502</v>
      </c>
      <c r="D8" t="str">
        <f t="shared" si="0"/>
        <v>310 Fourth Ave S. Suite 1006, Minneapolis, MN</v>
      </c>
    </row>
    <row r="9" spans="1:4" x14ac:dyDescent="0.25">
      <c r="A9" t="s">
        <v>122</v>
      </c>
      <c r="B9" t="s">
        <v>123</v>
      </c>
      <c r="C9" t="s">
        <v>502</v>
      </c>
      <c r="D9" t="str">
        <f t="shared" si="0"/>
        <v>2100 Stevens Avenue, Minneapolis, MN</v>
      </c>
    </row>
    <row r="10" spans="1:4" x14ac:dyDescent="0.25">
      <c r="A10" t="s">
        <v>946</v>
      </c>
      <c r="B10" t="s">
        <v>947</v>
      </c>
      <c r="C10" t="s">
        <v>506</v>
      </c>
      <c r="D10" t="str">
        <f t="shared" si="0"/>
        <v>161 Saint Anthony Ave Ste 910, St. Paul, MN</v>
      </c>
    </row>
    <row r="11" spans="1:4" x14ac:dyDescent="0.25">
      <c r="A11" s="22" t="s">
        <v>2177</v>
      </c>
      <c r="B11" t="s">
        <v>124</v>
      </c>
      <c r="C11" t="s">
        <v>504</v>
      </c>
      <c r="D11" t="str">
        <f t="shared" si="0"/>
        <v>5701 Shingle Creek Parkway, Ste 630, Brooklyn Center, MN</v>
      </c>
    </row>
    <row r="12" spans="1:4" x14ac:dyDescent="0.25">
      <c r="A12" t="s">
        <v>841</v>
      </c>
      <c r="B12" t="s">
        <v>842</v>
      </c>
      <c r="C12" t="s">
        <v>502</v>
      </c>
      <c r="D12" t="str">
        <f t="shared" si="0"/>
        <v>111 3rd Ave S #5, Minneapolis, MN</v>
      </c>
    </row>
    <row r="13" spans="1:4" x14ac:dyDescent="0.25">
      <c r="A13" t="s">
        <v>841</v>
      </c>
      <c r="B13" t="s">
        <v>842</v>
      </c>
      <c r="C13" t="s">
        <v>502</v>
      </c>
      <c r="D13" t="str">
        <f t="shared" si="0"/>
        <v>111 3rd Ave S #5, Minneapolis, MN</v>
      </c>
    </row>
    <row r="14" spans="1:4" x14ac:dyDescent="0.25">
      <c r="A14" t="s">
        <v>675</v>
      </c>
      <c r="B14" t="s">
        <v>676</v>
      </c>
      <c r="C14" t="s">
        <v>502</v>
      </c>
      <c r="D14" t="str">
        <f t="shared" si="0"/>
        <v>4234 Harriet Ave S, Minneapolis, MN</v>
      </c>
    </row>
    <row r="15" spans="1:4" x14ac:dyDescent="0.25">
      <c r="A15" t="s">
        <v>948</v>
      </c>
      <c r="B15" t="s">
        <v>949</v>
      </c>
      <c r="C15" t="s">
        <v>950</v>
      </c>
      <c r="D15" t="str">
        <f t="shared" si="0"/>
        <v>PO Box 247, Grand Rapids, MN</v>
      </c>
    </row>
    <row r="16" spans="1:4" x14ac:dyDescent="0.25">
      <c r="A16" t="s">
        <v>677</v>
      </c>
      <c r="B16" t="s">
        <v>678</v>
      </c>
      <c r="C16" t="s">
        <v>679</v>
      </c>
      <c r="D16" t="str">
        <f t="shared" si="0"/>
        <v>2885 Country Drive, Little Canada, MN</v>
      </c>
    </row>
    <row r="17" spans="1:4" x14ac:dyDescent="0.25">
      <c r="A17" t="s">
        <v>777</v>
      </c>
      <c r="B17" t="s">
        <v>778</v>
      </c>
      <c r="C17" t="s">
        <v>528</v>
      </c>
      <c r="D17" t="str">
        <f t="shared" si="0"/>
        <v>1220 L Street NW, Suite 850, Washington, DC</v>
      </c>
    </row>
    <row r="18" spans="1:4" x14ac:dyDescent="0.25">
      <c r="A18" t="s">
        <v>1446</v>
      </c>
      <c r="B18" t="s">
        <v>1447</v>
      </c>
      <c r="C18" t="s">
        <v>1448</v>
      </c>
      <c r="D18" t="str">
        <f t="shared" si="0"/>
        <v>PO Box 907, Beli Vista, CA</v>
      </c>
    </row>
    <row r="19" spans="1:4" x14ac:dyDescent="0.25">
      <c r="A19" t="s">
        <v>951</v>
      </c>
      <c r="B19" t="s">
        <v>952</v>
      </c>
      <c r="C19" t="s">
        <v>506</v>
      </c>
      <c r="D19" t="str">
        <f t="shared" si="0"/>
        <v>1821 University Ave, Ste 306 South, St. Paul, MN</v>
      </c>
    </row>
    <row r="20" spans="1:4" x14ac:dyDescent="0.25">
      <c r="A20" t="s">
        <v>784</v>
      </c>
      <c r="B20" t="s">
        <v>785</v>
      </c>
      <c r="C20" t="s">
        <v>504</v>
      </c>
      <c r="D20" t="str">
        <f t="shared" si="0"/>
        <v>5701 Shingle Creek Parkway, 661, Brooklyn Center, MN</v>
      </c>
    </row>
    <row r="21" spans="1:4" x14ac:dyDescent="0.25">
      <c r="A21" t="s">
        <v>953</v>
      </c>
      <c r="B21" t="s">
        <v>954</v>
      </c>
      <c r="C21" t="s">
        <v>506</v>
      </c>
      <c r="D21" t="str">
        <f t="shared" si="0"/>
        <v>Midway Griggs Building, 1821 University Ave. W S-328, St. Paul, MN</v>
      </c>
    </row>
    <row r="22" spans="1:4" x14ac:dyDescent="0.25">
      <c r="A22" t="s">
        <v>604</v>
      </c>
      <c r="B22" t="s">
        <v>605</v>
      </c>
      <c r="C22" t="s">
        <v>606</v>
      </c>
      <c r="D22" t="str">
        <f t="shared" si="0"/>
        <v>3316 80th Ave. N, Brooklyn Park, MD</v>
      </c>
    </row>
    <row r="23" spans="1:4" x14ac:dyDescent="0.25">
      <c r="A23" t="s">
        <v>127</v>
      </c>
      <c r="B23" t="s">
        <v>128</v>
      </c>
      <c r="C23" t="s">
        <v>502</v>
      </c>
      <c r="D23" t="str">
        <f t="shared" si="0"/>
        <v>600 East Minnehaha Parkway, Minneapolis, MN</v>
      </c>
    </row>
    <row r="24" spans="1:4" x14ac:dyDescent="0.25">
      <c r="A24" t="s">
        <v>755</v>
      </c>
      <c r="B24" t="s">
        <v>756</v>
      </c>
      <c r="C24" t="s">
        <v>502</v>
      </c>
      <c r="D24" t="str">
        <f t="shared" si="0"/>
        <v>2801 21st Ave S Ste. 132B, Minneapolis, MN</v>
      </c>
    </row>
    <row r="25" spans="1:4" x14ac:dyDescent="0.25">
      <c r="A25" t="s">
        <v>682</v>
      </c>
      <c r="B25" t="s">
        <v>683</v>
      </c>
      <c r="C25" t="s">
        <v>504</v>
      </c>
      <c r="D25" t="str">
        <f t="shared" si="0"/>
        <v>3300 CO RD #301, Brooklyn Center, MN</v>
      </c>
    </row>
    <row r="26" spans="1:4" x14ac:dyDescent="0.25">
      <c r="A26" t="s">
        <v>903</v>
      </c>
      <c r="B26" t="s">
        <v>904</v>
      </c>
      <c r="C26" t="s">
        <v>525</v>
      </c>
      <c r="D26" t="str">
        <f t="shared" si="0"/>
        <v>7420 Unity Ave N Suite 110, Brooklyn Park, MN</v>
      </c>
    </row>
    <row r="27" spans="1:4" x14ac:dyDescent="0.25">
      <c r="A27" t="s">
        <v>905</v>
      </c>
      <c r="B27" t="s">
        <v>906</v>
      </c>
      <c r="C27" t="s">
        <v>502</v>
      </c>
      <c r="D27" t="str">
        <f t="shared" si="0"/>
        <v>2751 Hennepin Ave, #142, Minneapolis, MN</v>
      </c>
    </row>
    <row r="28" spans="1:4" x14ac:dyDescent="0.25">
      <c r="A28" t="s">
        <v>129</v>
      </c>
      <c r="B28" t="s">
        <v>130</v>
      </c>
      <c r="C28" t="s">
        <v>506</v>
      </c>
      <c r="D28" t="str">
        <f t="shared" si="0"/>
        <v>1821 University Avenue West Suite S-227, St. Paul, MN</v>
      </c>
    </row>
    <row r="29" spans="1:4" x14ac:dyDescent="0.25">
      <c r="A29" t="s">
        <v>955</v>
      </c>
      <c r="B29" t="s">
        <v>956</v>
      </c>
      <c r="C29" t="s">
        <v>502</v>
      </c>
      <c r="D29" t="str">
        <f t="shared" si="0"/>
        <v>1931 1st Ave. S, Suite 100, Minneapolis, MN</v>
      </c>
    </row>
    <row r="30" spans="1:4" x14ac:dyDescent="0.25">
      <c r="A30" t="s">
        <v>131</v>
      </c>
      <c r="B30" t="s">
        <v>132</v>
      </c>
      <c r="C30" t="s">
        <v>507</v>
      </c>
      <c r="D30" t="str">
        <f t="shared" si="0"/>
        <v>140 West 98th St, Suite 205, Bloomington, MN</v>
      </c>
    </row>
    <row r="31" spans="1:4" x14ac:dyDescent="0.25">
      <c r="A31" t="s">
        <v>89</v>
      </c>
      <c r="B31" t="s">
        <v>133</v>
      </c>
      <c r="C31" t="s">
        <v>505</v>
      </c>
      <c r="D31" t="str">
        <f t="shared" si="0"/>
        <v>1132 28th Ave S Suite 104, Moorhead, MN</v>
      </c>
    </row>
    <row r="32" spans="1:4" x14ac:dyDescent="0.25">
      <c r="A32" t="s">
        <v>107</v>
      </c>
      <c r="B32" t="s">
        <v>134</v>
      </c>
      <c r="C32" t="s">
        <v>502</v>
      </c>
      <c r="D32" t="str">
        <f t="shared" si="0"/>
        <v>2104 Stevens Ave S, Ste 215, Minneapolis, MN</v>
      </c>
    </row>
    <row r="33" spans="1:4" x14ac:dyDescent="0.25">
      <c r="A33" t="s">
        <v>135</v>
      </c>
      <c r="B33" t="s">
        <v>136</v>
      </c>
      <c r="C33" t="s">
        <v>508</v>
      </c>
      <c r="D33" t="str">
        <f t="shared" si="0"/>
        <v>225 2nd Ave SW, Aitkin, MN</v>
      </c>
    </row>
    <row r="34" spans="1:4" x14ac:dyDescent="0.25">
      <c r="A34" t="s">
        <v>381</v>
      </c>
      <c r="B34" t="s">
        <v>382</v>
      </c>
      <c r="C34" t="s">
        <v>502</v>
      </c>
      <c r="D34" t="str">
        <f t="shared" si="0"/>
        <v>2910 15th ave s #2, Minneapolis, MN</v>
      </c>
    </row>
    <row r="35" spans="1:4" x14ac:dyDescent="0.25">
      <c r="A35" t="s">
        <v>692</v>
      </c>
      <c r="B35" t="s">
        <v>693</v>
      </c>
      <c r="C35" t="s">
        <v>524</v>
      </c>
      <c r="D35" t="str">
        <f t="shared" si="0"/>
        <v>320 East Second Street, Duluth, MN</v>
      </c>
    </row>
    <row r="36" spans="1:4" x14ac:dyDescent="0.25">
      <c r="A36" t="s">
        <v>36</v>
      </c>
      <c r="B36" t="s">
        <v>623</v>
      </c>
      <c r="C36" t="s">
        <v>506</v>
      </c>
      <c r="D36" t="str">
        <f t="shared" si="0"/>
        <v>2380 Wycliff St Ste 200, St. Paul, MN</v>
      </c>
    </row>
    <row r="37" spans="1:4" x14ac:dyDescent="0.25">
      <c r="A37" t="s">
        <v>137</v>
      </c>
      <c r="B37" t="s">
        <v>138</v>
      </c>
      <c r="C37" t="s">
        <v>509</v>
      </c>
      <c r="D37" t="str">
        <f t="shared" si="0"/>
        <v>225 E. 26th Street, Suite 1, Tucson, AZ</v>
      </c>
    </row>
    <row r="38" spans="1:4" x14ac:dyDescent="0.25">
      <c r="A38" t="s">
        <v>639</v>
      </c>
      <c r="B38" t="s">
        <v>640</v>
      </c>
      <c r="C38" t="s">
        <v>502</v>
      </c>
      <c r="D38" t="str">
        <f t="shared" si="0"/>
        <v>2525 E. Franklin Avenue, Suite 200, Minneapolis, MN</v>
      </c>
    </row>
    <row r="39" spans="1:4" x14ac:dyDescent="0.25">
      <c r="A39" t="s">
        <v>85</v>
      </c>
      <c r="B39" t="s">
        <v>907</v>
      </c>
      <c r="C39" t="s">
        <v>502</v>
      </c>
      <c r="D39" t="str">
        <f t="shared" si="0"/>
        <v>2801 21st Ave S Ste 100, Minneapolis, MN</v>
      </c>
    </row>
    <row r="40" spans="1:4" x14ac:dyDescent="0.25">
      <c r="A40" t="s">
        <v>1625</v>
      </c>
      <c r="B40" t="s">
        <v>1626</v>
      </c>
      <c r="C40" t="s">
        <v>1627</v>
      </c>
      <c r="D40" t="str">
        <f t="shared" si="0"/>
        <v>PO Box 442339, Detroit, MI</v>
      </c>
    </row>
    <row r="41" spans="1:4" x14ac:dyDescent="0.25">
      <c r="A41" t="s">
        <v>909</v>
      </c>
      <c r="B41" t="s">
        <v>910</v>
      </c>
      <c r="C41" t="s">
        <v>911</v>
      </c>
      <c r="D41" t="str">
        <f t="shared" si="0"/>
        <v>1083 Austin Ave, Atlanta, GA</v>
      </c>
    </row>
    <row r="42" spans="1:4" x14ac:dyDescent="0.25">
      <c r="A42" t="s">
        <v>800</v>
      </c>
      <c r="B42" t="s">
        <v>801</v>
      </c>
      <c r="C42" t="s">
        <v>506</v>
      </c>
      <c r="D42" t="str">
        <f t="shared" si="0"/>
        <v>475 Cleveland Ave N, Suite 322, St. Paul, MN</v>
      </c>
    </row>
    <row r="43" spans="1:4" x14ac:dyDescent="0.25">
      <c r="A43" t="s">
        <v>957</v>
      </c>
      <c r="B43" t="s">
        <v>958</v>
      </c>
      <c r="C43" t="s">
        <v>506</v>
      </c>
      <c r="D43" t="str">
        <f t="shared" si="0"/>
        <v>2300 Myrtle Ave, Suite 180, St. Paul, MN</v>
      </c>
    </row>
    <row r="44" spans="1:4" x14ac:dyDescent="0.25">
      <c r="A44" t="s">
        <v>1451</v>
      </c>
      <c r="B44" t="s">
        <v>1452</v>
      </c>
      <c r="C44" t="s">
        <v>531</v>
      </c>
      <c r="D44" t="str">
        <f t="shared" si="0"/>
        <v>720 Fourth Ave S., St. Cloud, MN</v>
      </c>
    </row>
    <row r="45" spans="1:4" x14ac:dyDescent="0.25">
      <c r="A45" t="s">
        <v>3</v>
      </c>
      <c r="B45" t="s">
        <v>609</v>
      </c>
      <c r="C45" t="s">
        <v>506</v>
      </c>
      <c r="D45" t="str">
        <f t="shared" si="0"/>
        <v>579 Wells St., St. Paul, MN</v>
      </c>
    </row>
    <row r="46" spans="1:4" x14ac:dyDescent="0.25">
      <c r="A46" t="s">
        <v>87</v>
      </c>
      <c r="B46" t="s">
        <v>139</v>
      </c>
      <c r="C46" t="s">
        <v>502</v>
      </c>
      <c r="D46" t="str">
        <f t="shared" si="0"/>
        <v>1113 East Franklin Avenue, Suite 103, Minneapolis, MN</v>
      </c>
    </row>
    <row r="47" spans="1:4" x14ac:dyDescent="0.25">
      <c r="A47" t="s">
        <v>959</v>
      </c>
      <c r="B47" t="s">
        <v>960</v>
      </c>
      <c r="C47" t="s">
        <v>502</v>
      </c>
      <c r="D47" t="str">
        <f t="shared" si="0"/>
        <v>2419 Nicollet Ave, Minneapolis, MN</v>
      </c>
    </row>
    <row r="48" spans="1:4" x14ac:dyDescent="0.25">
      <c r="A48" t="s">
        <v>1453</v>
      </c>
      <c r="B48" t="s">
        <v>1454</v>
      </c>
      <c r="C48" t="s">
        <v>528</v>
      </c>
      <c r="D48" t="str">
        <f t="shared" si="0"/>
        <v>1101 14th Street NW, suite 1400, Washington, DC</v>
      </c>
    </row>
    <row r="49" spans="1:4" x14ac:dyDescent="0.25">
      <c r="A49" t="s">
        <v>70</v>
      </c>
      <c r="B49" t="s">
        <v>829</v>
      </c>
      <c r="C49" t="s">
        <v>502</v>
      </c>
      <c r="D49" t="str">
        <f t="shared" si="0"/>
        <v>P. O. Box 2427 , Minneapolis, MN</v>
      </c>
    </row>
    <row r="50" spans="1:4" x14ac:dyDescent="0.25">
      <c r="A50" t="s">
        <v>741</v>
      </c>
      <c r="B50" t="s">
        <v>742</v>
      </c>
      <c r="C50" t="s">
        <v>743</v>
      </c>
      <c r="D50" t="str">
        <f t="shared" si="0"/>
        <v>Box 6, Ahoust, BC</v>
      </c>
    </row>
    <row r="51" spans="1:4" x14ac:dyDescent="0.25">
      <c r="A51" t="s">
        <v>961</v>
      </c>
      <c r="B51" t="s">
        <v>962</v>
      </c>
      <c r="C51" t="s">
        <v>502</v>
      </c>
      <c r="D51" t="str">
        <f t="shared" si="0"/>
        <v>2914 15th Ave S, Minneapolis, MN</v>
      </c>
    </row>
    <row r="52" spans="1:4" x14ac:dyDescent="0.25">
      <c r="A52" t="s">
        <v>291</v>
      </c>
      <c r="B52" t="s">
        <v>292</v>
      </c>
      <c r="C52" t="s">
        <v>502</v>
      </c>
      <c r="D52" t="str">
        <f t="shared" si="0"/>
        <v>2900 Fremont Avenue North, Suite 108, Minneapolis, MN</v>
      </c>
    </row>
    <row r="53" spans="1:4" x14ac:dyDescent="0.25">
      <c r="A53" t="s">
        <v>1747</v>
      </c>
      <c r="B53" t="s">
        <v>1748</v>
      </c>
      <c r="C53" t="s">
        <v>502</v>
      </c>
      <c r="D53" t="str">
        <f t="shared" si="0"/>
        <v>3940 Park Avenue South, Minneapolis, MN</v>
      </c>
    </row>
    <row r="54" spans="1:4" x14ac:dyDescent="0.25">
      <c r="A54" t="s">
        <v>1455</v>
      </c>
      <c r="B54" t="s">
        <v>1456</v>
      </c>
      <c r="C54" t="s">
        <v>573</v>
      </c>
      <c r="D54" t="str">
        <f t="shared" si="0"/>
        <v>704 Ishpeming RD, Cloquet, MN</v>
      </c>
    </row>
    <row r="55" spans="1:4" x14ac:dyDescent="0.25">
      <c r="A55" t="s">
        <v>146</v>
      </c>
      <c r="B55" t="s">
        <v>147</v>
      </c>
      <c r="C55" t="s">
        <v>511</v>
      </c>
      <c r="D55" t="str">
        <f t="shared" si="0"/>
        <v>PO Box 766, San Carlos, AZ</v>
      </c>
    </row>
    <row r="56" spans="1:4" x14ac:dyDescent="0.25">
      <c r="A56" t="s">
        <v>148</v>
      </c>
      <c r="B56" t="s">
        <v>149</v>
      </c>
      <c r="C56" t="s">
        <v>149</v>
      </c>
      <c r="D56" t="str">
        <f t="shared" si="0"/>
        <v xml:space="preserve">, </v>
      </c>
    </row>
    <row r="57" spans="1:4" x14ac:dyDescent="0.25">
      <c r="A57" t="s">
        <v>1533</v>
      </c>
      <c r="B57" t="s">
        <v>1534</v>
      </c>
      <c r="C57" t="s">
        <v>1535</v>
      </c>
      <c r="D57" t="str">
        <f t="shared" si="0"/>
        <v>306 West Haywood Street, Asheville, NC</v>
      </c>
    </row>
    <row r="58" spans="1:4" x14ac:dyDescent="0.25">
      <c r="A58" t="s">
        <v>37</v>
      </c>
      <c r="B58" t="s">
        <v>830</v>
      </c>
      <c r="C58" t="s">
        <v>502</v>
      </c>
      <c r="D58" t="str">
        <f t="shared" si="0"/>
        <v>1200 West Broadway Avenue #180, Minneapolis, MN</v>
      </c>
    </row>
    <row r="59" spans="1:4" x14ac:dyDescent="0.25">
      <c r="A59" t="s">
        <v>963</v>
      </c>
      <c r="B59" t="s">
        <v>964</v>
      </c>
      <c r="C59" t="s">
        <v>531</v>
      </c>
      <c r="D59" t="str">
        <f t="shared" si="0"/>
        <v>6112 322nd St., St. Cloud, MN</v>
      </c>
    </row>
    <row r="60" spans="1:4" x14ac:dyDescent="0.25">
      <c r="A60" t="s">
        <v>912</v>
      </c>
      <c r="B60" t="s">
        <v>913</v>
      </c>
      <c r="C60" t="s">
        <v>516</v>
      </c>
      <c r="D60" t="str">
        <f t="shared" si="0"/>
        <v>1819 Bemidji Avenue North, Suite 2, Bemidji, MN</v>
      </c>
    </row>
    <row r="61" spans="1:4" x14ac:dyDescent="0.25">
      <c r="A61" t="s">
        <v>914</v>
      </c>
      <c r="B61" t="s">
        <v>915</v>
      </c>
      <c r="C61" t="s">
        <v>506</v>
      </c>
      <c r="D61" t="str">
        <f t="shared" si="0"/>
        <v>275 East Fourth St., Suite 701, St. Paul, MN</v>
      </c>
    </row>
    <row r="62" spans="1:4" x14ac:dyDescent="0.25">
      <c r="A62" t="s">
        <v>763</v>
      </c>
      <c r="B62" t="s">
        <v>764</v>
      </c>
      <c r="C62" t="s">
        <v>765</v>
      </c>
      <c r="D62" t="str">
        <f t="shared" si="0"/>
        <v>702 3rd Avenue South, Virginia, MN</v>
      </c>
    </row>
    <row r="63" spans="1:4" x14ac:dyDescent="0.25">
      <c r="A63" t="s">
        <v>25</v>
      </c>
      <c r="B63" t="s">
        <v>788</v>
      </c>
      <c r="C63" t="s">
        <v>515</v>
      </c>
      <c r="D63" t="str">
        <f t="shared" si="0"/>
        <v>2214 Larry Ho Drive, Saint Paul, MN</v>
      </c>
    </row>
    <row r="64" spans="1:4" x14ac:dyDescent="0.25">
      <c r="A64" t="s">
        <v>83</v>
      </c>
      <c r="B64" t="s">
        <v>813</v>
      </c>
      <c r="C64" t="s">
        <v>515</v>
      </c>
      <c r="D64" t="str">
        <f t="shared" si="0"/>
        <v>1821 University Avenue West, S-292, Saint Paul, MN</v>
      </c>
    </row>
    <row r="65" spans="1:4" x14ac:dyDescent="0.25">
      <c r="A65" t="s">
        <v>150</v>
      </c>
      <c r="B65" t="s">
        <v>151</v>
      </c>
      <c r="C65" t="s">
        <v>502</v>
      </c>
      <c r="D65" t="str">
        <f t="shared" si="0"/>
        <v>2418 Plymouth Avenue North, Minneapolis, MN</v>
      </c>
    </row>
    <row r="66" spans="1:4" x14ac:dyDescent="0.25">
      <c r="A66" t="s">
        <v>965</v>
      </c>
      <c r="B66" t="s">
        <v>966</v>
      </c>
      <c r="C66" t="s">
        <v>502</v>
      </c>
      <c r="D66" t="str">
        <f t="shared" ref="D66:D129" si="1">_xlfn.CONCAT(B66,", ",C66)</f>
        <v>P.O. Box 6223, Minneapolis, MN</v>
      </c>
    </row>
    <row r="67" spans="1:4" x14ac:dyDescent="0.25">
      <c r="A67" t="s">
        <v>818</v>
      </c>
      <c r="B67" t="s">
        <v>819</v>
      </c>
      <c r="C67" t="s">
        <v>820</v>
      </c>
      <c r="D67" t="str">
        <f t="shared" si="1"/>
        <v>5801 Duluth Street, Suite 110, Golden Valley, MN</v>
      </c>
    </row>
    <row r="68" spans="1:4" x14ac:dyDescent="0.25">
      <c r="A68" t="s">
        <v>359</v>
      </c>
      <c r="B68" t="s">
        <v>360</v>
      </c>
      <c r="C68" t="s">
        <v>562</v>
      </c>
      <c r="D68" t="str">
        <f t="shared" si="1"/>
        <v>7733 Lakeview Lane NE, Spring Lake Park, MN</v>
      </c>
    </row>
    <row r="69" spans="1:4" x14ac:dyDescent="0.25">
      <c r="A69" t="s">
        <v>916</v>
      </c>
      <c r="B69" t="s">
        <v>917</v>
      </c>
      <c r="C69" t="s">
        <v>513</v>
      </c>
      <c r="D69" t="str">
        <f t="shared" si="1"/>
        <v>333 Seventh Ave - 14th Floor, New York, NY</v>
      </c>
    </row>
    <row r="70" spans="1:4" x14ac:dyDescent="0.25">
      <c r="A70" t="s">
        <v>651</v>
      </c>
      <c r="B70" t="s">
        <v>652</v>
      </c>
      <c r="C70" t="s">
        <v>506</v>
      </c>
      <c r="D70" t="str">
        <f t="shared" si="1"/>
        <v>757 Raymond Avenue #200, St. Paul, MN</v>
      </c>
    </row>
    <row r="71" spans="1:4" x14ac:dyDescent="0.25">
      <c r="A71" t="s">
        <v>152</v>
      </c>
      <c r="B71" t="s">
        <v>153</v>
      </c>
      <c r="C71" t="s">
        <v>512</v>
      </c>
      <c r="D71" t="str">
        <f t="shared" si="1"/>
        <v>C/O 6500 BROOKLYN BLVD, STE 200, BROKLYN CENTER, MN</v>
      </c>
    </row>
    <row r="72" spans="1:4" x14ac:dyDescent="0.25">
      <c r="A72" t="s">
        <v>154</v>
      </c>
      <c r="B72" t="s">
        <v>155</v>
      </c>
      <c r="C72" t="s">
        <v>513</v>
      </c>
      <c r="D72" t="str">
        <f t="shared" si="1"/>
        <v>116 East 16th Street, 7th Floor, New York, NY</v>
      </c>
    </row>
    <row r="73" spans="1:4" x14ac:dyDescent="0.25">
      <c r="A73" t="s">
        <v>156</v>
      </c>
      <c r="B73" t="s">
        <v>157</v>
      </c>
      <c r="C73" t="s">
        <v>513</v>
      </c>
      <c r="D73" t="str">
        <f t="shared" si="1"/>
        <v>601 West 26th Street Suite 325-43, New York, NY</v>
      </c>
    </row>
    <row r="74" spans="1:4" x14ac:dyDescent="0.25">
      <c r="A74" t="s">
        <v>158</v>
      </c>
      <c r="B74" t="s">
        <v>159</v>
      </c>
      <c r="C74" t="s">
        <v>514</v>
      </c>
      <c r="D74" t="str">
        <f t="shared" si="1"/>
        <v>54165 Audubon Drive, Sandstone, MN</v>
      </c>
    </row>
    <row r="75" spans="1:4" x14ac:dyDescent="0.25">
      <c r="A75" t="s">
        <v>967</v>
      </c>
      <c r="B75" t="s">
        <v>968</v>
      </c>
      <c r="C75" t="s">
        <v>552</v>
      </c>
      <c r="D75" t="str">
        <f t="shared" si="1"/>
        <v>774 University Ave W, St Paul, MN</v>
      </c>
    </row>
    <row r="76" spans="1:4" x14ac:dyDescent="0.25">
      <c r="A76" t="s">
        <v>47</v>
      </c>
      <c r="B76" t="s">
        <v>160</v>
      </c>
      <c r="C76" t="s">
        <v>515</v>
      </c>
      <c r="D76" t="str">
        <f t="shared" si="1"/>
        <v>2380 Wycliff Street, #102, Saint Paul, MN</v>
      </c>
    </row>
    <row r="77" spans="1:4" x14ac:dyDescent="0.25">
      <c r="A77" t="s">
        <v>1628</v>
      </c>
      <c r="B77" t="s">
        <v>1629</v>
      </c>
      <c r="C77" t="s">
        <v>513</v>
      </c>
      <c r="D77" t="str">
        <f t="shared" si="1"/>
        <v>857 Broadway, 3rd Floor, New York, NY</v>
      </c>
    </row>
    <row r="78" spans="1:4" x14ac:dyDescent="0.25">
      <c r="A78" t="s">
        <v>918</v>
      </c>
      <c r="B78" t="s">
        <v>919</v>
      </c>
      <c r="C78" t="s">
        <v>920</v>
      </c>
      <c r="D78" t="str">
        <f t="shared" si="1"/>
        <v>PO Box 39, Odanah, WI</v>
      </c>
    </row>
    <row r="79" spans="1:4" x14ac:dyDescent="0.25">
      <c r="A79" t="s">
        <v>48</v>
      </c>
      <c r="B79" t="s">
        <v>161</v>
      </c>
      <c r="C79" t="s">
        <v>502</v>
      </c>
      <c r="D79" t="str">
        <f t="shared" si="1"/>
        <v>3216 East 29th Street, Minneapolis, MN</v>
      </c>
    </row>
    <row r="80" spans="1:4" x14ac:dyDescent="0.25">
      <c r="A80" t="s">
        <v>843</v>
      </c>
      <c r="B80" t="s">
        <v>844</v>
      </c>
      <c r="C80" t="s">
        <v>570</v>
      </c>
      <c r="D80" t="str">
        <f t="shared" si="1"/>
        <v>Seattle P-Patch Trust PO Box 19748, Seattle, WA</v>
      </c>
    </row>
    <row r="81" spans="1:4" x14ac:dyDescent="0.25">
      <c r="A81" t="s">
        <v>162</v>
      </c>
      <c r="B81" t="s">
        <v>163</v>
      </c>
      <c r="C81" t="s">
        <v>502</v>
      </c>
      <c r="D81" t="str">
        <f t="shared" si="1"/>
        <v>2637 27th Ave S, Minneapolis, MN</v>
      </c>
    </row>
    <row r="82" spans="1:4" x14ac:dyDescent="0.25">
      <c r="A82" t="s">
        <v>921</v>
      </c>
      <c r="B82" t="s">
        <v>922</v>
      </c>
      <c r="C82" t="s">
        <v>516</v>
      </c>
      <c r="D82" t="str">
        <f t="shared" si="1"/>
        <v>1612 Carr Lake Road SE, Bemidji, MN</v>
      </c>
    </row>
    <row r="83" spans="1:4" x14ac:dyDescent="0.25">
      <c r="A83" t="s">
        <v>62</v>
      </c>
      <c r="B83" t="s">
        <v>166</v>
      </c>
      <c r="C83" t="s">
        <v>516</v>
      </c>
      <c r="D83" t="str">
        <f t="shared" si="1"/>
        <v>P. O. Box 1123, Bemidji, MN</v>
      </c>
    </row>
    <row r="84" spans="1:4" x14ac:dyDescent="0.25">
      <c r="A84" t="s">
        <v>167</v>
      </c>
      <c r="B84" t="s">
        <v>168</v>
      </c>
      <c r="C84" t="s">
        <v>506</v>
      </c>
      <c r="D84" t="str">
        <f t="shared" si="1"/>
        <v>2550 University Ave W Ste 410 N, St. Paul, MN</v>
      </c>
    </row>
    <row r="85" spans="1:4" x14ac:dyDescent="0.25">
      <c r="A85" t="s">
        <v>88</v>
      </c>
      <c r="B85" t="s">
        <v>169</v>
      </c>
      <c r="C85" t="s">
        <v>502</v>
      </c>
      <c r="D85" t="str">
        <f t="shared" si="1"/>
        <v>1113 East Franklin Avenue, Minneapolis, MN</v>
      </c>
    </row>
    <row r="86" spans="1:4" x14ac:dyDescent="0.25">
      <c r="A86" t="s">
        <v>170</v>
      </c>
      <c r="B86" t="s">
        <v>149</v>
      </c>
      <c r="C86" t="s">
        <v>149</v>
      </c>
      <c r="D86" t="str">
        <f t="shared" si="1"/>
        <v xml:space="preserve">, </v>
      </c>
    </row>
    <row r="87" spans="1:4" x14ac:dyDescent="0.25">
      <c r="A87" t="s">
        <v>973</v>
      </c>
      <c r="B87" t="s">
        <v>974</v>
      </c>
      <c r="C87" t="s">
        <v>975</v>
      </c>
      <c r="D87" t="str">
        <f t="shared" si="1"/>
        <v>18 Northview Drive, Glenside, PA</v>
      </c>
    </row>
    <row r="88" spans="1:4" x14ac:dyDescent="0.25">
      <c r="A88" t="s">
        <v>173</v>
      </c>
      <c r="B88" t="s">
        <v>174</v>
      </c>
      <c r="C88" t="s">
        <v>518</v>
      </c>
      <c r="D88" t="str">
        <f t="shared" si="1"/>
        <v>1017 L Street Suite 711, Sacramento, CA</v>
      </c>
    </row>
    <row r="89" spans="1:4" x14ac:dyDescent="0.25">
      <c r="A89" t="s">
        <v>46</v>
      </c>
      <c r="B89" t="s">
        <v>175</v>
      </c>
      <c r="C89" t="s">
        <v>502</v>
      </c>
      <c r="D89" t="str">
        <f t="shared" si="1"/>
        <v>3032 10th Ave. South, Minneapolis, MN</v>
      </c>
    </row>
    <row r="90" spans="1:4" x14ac:dyDescent="0.25">
      <c r="A90" t="s">
        <v>176</v>
      </c>
      <c r="B90" t="s">
        <v>177</v>
      </c>
      <c r="C90" t="s">
        <v>519</v>
      </c>
      <c r="D90" t="str">
        <f t="shared" si="1"/>
        <v>1018 S 7th Ave, Tuscon, AZ</v>
      </c>
    </row>
    <row r="91" spans="1:4" x14ac:dyDescent="0.25">
      <c r="A91" t="s">
        <v>1457</v>
      </c>
      <c r="B91" t="s">
        <v>859</v>
      </c>
      <c r="C91" t="s">
        <v>1458</v>
      </c>
      <c r="D91" t="str">
        <f t="shared" si="1"/>
        <v>PO Box 163, Flagstaff, AZ</v>
      </c>
    </row>
    <row r="92" spans="1:4" x14ac:dyDescent="0.25">
      <c r="A92" t="s">
        <v>894</v>
      </c>
      <c r="B92" t="s">
        <v>895</v>
      </c>
      <c r="C92" t="s">
        <v>570</v>
      </c>
      <c r="D92" t="str">
        <f t="shared" si="1"/>
        <v>PO Box 46485, Seattle, WA</v>
      </c>
    </row>
    <row r="93" spans="1:4" x14ac:dyDescent="0.25">
      <c r="A93" t="s">
        <v>178</v>
      </c>
      <c r="B93" t="s">
        <v>179</v>
      </c>
      <c r="C93" t="s">
        <v>502</v>
      </c>
      <c r="D93" t="str">
        <f t="shared" si="1"/>
        <v>P.O. Box 11622, Minneapolis, MN</v>
      </c>
    </row>
    <row r="94" spans="1:4" x14ac:dyDescent="0.25">
      <c r="A94" t="s">
        <v>976</v>
      </c>
      <c r="B94" t="s">
        <v>977</v>
      </c>
      <c r="C94" t="s">
        <v>754</v>
      </c>
      <c r="D94" t="str">
        <f t="shared" si="1"/>
        <v>12990 St. Davids Road, Minnetonka, MN</v>
      </c>
    </row>
    <row r="95" spans="1:4" x14ac:dyDescent="0.25">
      <c r="A95" t="s">
        <v>923</v>
      </c>
      <c r="B95" t="s">
        <v>924</v>
      </c>
      <c r="C95" t="s">
        <v>549</v>
      </c>
      <c r="D95" t="str">
        <f t="shared" si="1"/>
        <v>2273 Telegraph Avenue, Oakland, CA</v>
      </c>
    </row>
    <row r="96" spans="1:4" x14ac:dyDescent="0.25">
      <c r="A96" t="s">
        <v>1536</v>
      </c>
      <c r="B96" t="s">
        <v>1537</v>
      </c>
      <c r="C96" t="s">
        <v>528</v>
      </c>
      <c r="D96" t="str">
        <f t="shared" si="1"/>
        <v>1225 Eye Street NW  Suite 1100, Washington, DC</v>
      </c>
    </row>
    <row r="97" spans="1:4" x14ac:dyDescent="0.25">
      <c r="A97" t="s">
        <v>180</v>
      </c>
      <c r="B97" t="s">
        <v>181</v>
      </c>
      <c r="C97" t="s">
        <v>520</v>
      </c>
      <c r="D97" t="str">
        <f t="shared" si="1"/>
        <v>445 Union Str., Lake Andes, SD</v>
      </c>
    </row>
    <row r="98" spans="1:4" x14ac:dyDescent="0.25">
      <c r="A98" t="s">
        <v>184</v>
      </c>
      <c r="B98" t="s">
        <v>185</v>
      </c>
      <c r="C98" t="s">
        <v>515</v>
      </c>
      <c r="D98" t="str">
        <f t="shared" si="1"/>
        <v>2314 University Avenue, Saint Paul, MN</v>
      </c>
    </row>
    <row r="99" spans="1:4" x14ac:dyDescent="0.25">
      <c r="A99" t="s">
        <v>925</v>
      </c>
      <c r="B99" t="s">
        <v>926</v>
      </c>
      <c r="C99" t="s">
        <v>545</v>
      </c>
      <c r="D99" t="str">
        <f t="shared" si="1"/>
        <v>657 Mission Street, Suite 302, San Francisco, CA</v>
      </c>
    </row>
    <row r="100" spans="1:4" x14ac:dyDescent="0.25">
      <c r="A100" t="s">
        <v>419</v>
      </c>
      <c r="B100" t="s">
        <v>420</v>
      </c>
      <c r="C100" t="s">
        <v>502</v>
      </c>
      <c r="D100" t="str">
        <f t="shared" si="1"/>
        <v>3501 Chicago Ave. S., Minneapolis, MN</v>
      </c>
    </row>
    <row r="101" spans="1:4" x14ac:dyDescent="0.25">
      <c r="A101" t="s">
        <v>273</v>
      </c>
      <c r="B101" t="s">
        <v>274</v>
      </c>
      <c r="C101" t="s">
        <v>502</v>
      </c>
      <c r="D101" t="str">
        <f t="shared" si="1"/>
        <v>2422 Clinton Avenue South Apt. E14, Minneapolis, MN</v>
      </c>
    </row>
    <row r="102" spans="1:4" x14ac:dyDescent="0.25">
      <c r="A102" t="s">
        <v>140</v>
      </c>
      <c r="B102" t="s">
        <v>141</v>
      </c>
      <c r="C102" t="s">
        <v>510</v>
      </c>
      <c r="D102" t="str">
        <f t="shared" si="1"/>
        <v>8575N Trepania Road, Hayward, WI</v>
      </c>
    </row>
    <row r="103" spans="1:4" x14ac:dyDescent="0.25">
      <c r="A103" t="s">
        <v>978</v>
      </c>
      <c r="B103" t="s">
        <v>979</v>
      </c>
      <c r="C103" t="s">
        <v>506</v>
      </c>
      <c r="D103" t="str">
        <f t="shared" si="1"/>
        <v>625 University Ave, Suite 203, St. Paul, MN</v>
      </c>
    </row>
    <row r="104" spans="1:4" x14ac:dyDescent="0.25">
      <c r="A104" t="s">
        <v>980</v>
      </c>
      <c r="B104" t="s">
        <v>981</v>
      </c>
      <c r="C104" t="s">
        <v>502</v>
      </c>
      <c r="D104" t="str">
        <f t="shared" si="1"/>
        <v>4137 Bloomington Ave. S, Minneapolis, MN</v>
      </c>
    </row>
    <row r="105" spans="1:4" x14ac:dyDescent="0.25">
      <c r="A105" t="s">
        <v>694</v>
      </c>
      <c r="B105" t="s">
        <v>695</v>
      </c>
      <c r="C105" t="s">
        <v>502</v>
      </c>
      <c r="D105" t="str">
        <f t="shared" si="1"/>
        <v>2100 Plymouth Avenue North, #104, Minneapolis, MN</v>
      </c>
    </row>
    <row r="106" spans="1:4" x14ac:dyDescent="0.25">
      <c r="A106" t="s">
        <v>186</v>
      </c>
      <c r="B106" t="s">
        <v>187</v>
      </c>
      <c r="C106" t="s">
        <v>503</v>
      </c>
      <c r="D106" t="str">
        <f t="shared" si="1"/>
        <v>601 Bay VW, Madison, WI</v>
      </c>
    </row>
    <row r="107" spans="1:4" x14ac:dyDescent="0.25">
      <c r="A107" t="s">
        <v>188</v>
      </c>
      <c r="B107" t="s">
        <v>189</v>
      </c>
      <c r="C107" t="s">
        <v>521</v>
      </c>
      <c r="D107" t="str">
        <f t="shared" si="1"/>
        <v>324 1st Ave, SW, Rochester, MN</v>
      </c>
    </row>
    <row r="108" spans="1:4" x14ac:dyDescent="0.25">
      <c r="A108" t="s">
        <v>38</v>
      </c>
      <c r="B108" t="s">
        <v>817</v>
      </c>
      <c r="C108" t="s">
        <v>502</v>
      </c>
      <c r="D108" t="str">
        <f t="shared" si="1"/>
        <v>2511 East Franklin Avenue, Suite 100, Minneapolis, MN</v>
      </c>
    </row>
    <row r="109" spans="1:4" x14ac:dyDescent="0.25">
      <c r="A109" t="s">
        <v>192</v>
      </c>
      <c r="B109" t="s">
        <v>193</v>
      </c>
      <c r="C109" t="s">
        <v>522</v>
      </c>
      <c r="D109" t="str">
        <f t="shared" si="1"/>
        <v>9440 Science Center Drive, New Hope, MN</v>
      </c>
    </row>
    <row r="110" spans="1:4" x14ac:dyDescent="0.25">
      <c r="A110" t="s">
        <v>231</v>
      </c>
      <c r="B110" t="s">
        <v>232</v>
      </c>
      <c r="C110" t="s">
        <v>502</v>
      </c>
      <c r="D110" t="str">
        <f t="shared" si="1"/>
        <v>600 18th Ave N, Minneapolis, MN</v>
      </c>
    </row>
    <row r="111" spans="1:4" x14ac:dyDescent="0.25">
      <c r="A111" t="s">
        <v>361</v>
      </c>
      <c r="B111" t="s">
        <v>362</v>
      </c>
      <c r="C111" t="s">
        <v>506</v>
      </c>
      <c r="D111" t="str">
        <f t="shared" si="1"/>
        <v>2375 University Ave West Suite 150, St. Paul, MN</v>
      </c>
    </row>
    <row r="112" spans="1:4" x14ac:dyDescent="0.25">
      <c r="A112" t="s">
        <v>238</v>
      </c>
      <c r="B112" t="s">
        <v>239</v>
      </c>
      <c r="C112" t="s">
        <v>502</v>
      </c>
      <c r="D112" t="str">
        <f t="shared" si="1"/>
        <v>3600 17th Ave #102, Minneapolis, MN</v>
      </c>
    </row>
    <row r="113" spans="1:4" x14ac:dyDescent="0.25">
      <c r="A113" t="s">
        <v>927</v>
      </c>
      <c r="B113" t="s">
        <v>928</v>
      </c>
      <c r="C113" t="s">
        <v>502</v>
      </c>
      <c r="D113" t="str">
        <f t="shared" si="1"/>
        <v>3025 Johnson Street NE, Minneapolis, MN</v>
      </c>
    </row>
    <row r="114" spans="1:4" x14ac:dyDescent="0.25">
      <c r="A114" t="s">
        <v>1686</v>
      </c>
      <c r="B114" t="s">
        <v>1687</v>
      </c>
      <c r="C114" t="s">
        <v>515</v>
      </c>
      <c r="D114" t="str">
        <f t="shared" si="1"/>
        <v>PO Box 40115, Saint Paul, MN</v>
      </c>
    </row>
    <row r="115" spans="1:4" x14ac:dyDescent="0.25">
      <c r="A115" t="s">
        <v>689</v>
      </c>
      <c r="B115" t="s">
        <v>690</v>
      </c>
      <c r="C115" t="s">
        <v>691</v>
      </c>
      <c r="D115" t="str">
        <f t="shared" si="1"/>
        <v>710 St. Olaf Avenue PO Box 13, Northfield, MN</v>
      </c>
    </row>
    <row r="116" spans="1:4" x14ac:dyDescent="0.25">
      <c r="A116" t="s">
        <v>811</v>
      </c>
      <c r="B116" t="s">
        <v>314</v>
      </c>
      <c r="C116" t="s">
        <v>502</v>
      </c>
      <c r="D116" t="str">
        <f t="shared" si="1"/>
        <v>2800 Fremont avenue North, suite 108, Minneapolis, MN</v>
      </c>
    </row>
    <row r="117" spans="1:4" x14ac:dyDescent="0.25">
      <c r="A117" t="s">
        <v>793</v>
      </c>
      <c r="B117" t="s">
        <v>791</v>
      </c>
      <c r="C117" t="s">
        <v>792</v>
      </c>
      <c r="D117" t="str">
        <f t="shared" si="1"/>
        <v>501 north dale, St paul, MN</v>
      </c>
    </row>
    <row r="118" spans="1:4" x14ac:dyDescent="0.25">
      <c r="A118" t="s">
        <v>929</v>
      </c>
      <c r="B118" t="s">
        <v>930</v>
      </c>
      <c r="C118" t="s">
        <v>506</v>
      </c>
      <c r="D118" t="str">
        <f t="shared" si="1"/>
        <v>179 Robie St., Suite 274, St. Paul, MN</v>
      </c>
    </row>
    <row r="119" spans="1:4" x14ac:dyDescent="0.25">
      <c r="A119" t="s">
        <v>931</v>
      </c>
      <c r="B119" t="s">
        <v>932</v>
      </c>
      <c r="C119" t="s">
        <v>528</v>
      </c>
      <c r="D119" t="str">
        <f t="shared" si="1"/>
        <v>1536 U Street NW, Washington, DC</v>
      </c>
    </row>
    <row r="120" spans="1:4" x14ac:dyDescent="0.25">
      <c r="A120" t="s">
        <v>982</v>
      </c>
      <c r="B120" t="s">
        <v>983</v>
      </c>
      <c r="C120" t="s">
        <v>502</v>
      </c>
      <c r="D120" t="str">
        <f t="shared" si="1"/>
        <v>34 13th Ave. NE, Suite B002B, Minneapolis, MN</v>
      </c>
    </row>
    <row r="121" spans="1:4" x14ac:dyDescent="0.25">
      <c r="A121" t="s">
        <v>92</v>
      </c>
      <c r="B121" t="s">
        <v>634</v>
      </c>
      <c r="C121" t="s">
        <v>502</v>
      </c>
      <c r="D121" t="str">
        <f t="shared" si="1"/>
        <v>2021 East Hennepin Avenue, Ste 155, Minneapolis, MN</v>
      </c>
    </row>
    <row r="122" spans="1:4" x14ac:dyDescent="0.25">
      <c r="A122" t="s">
        <v>933</v>
      </c>
      <c r="B122" t="s">
        <v>934</v>
      </c>
      <c r="C122" t="s">
        <v>506</v>
      </c>
      <c r="D122" t="str">
        <f t="shared" si="1"/>
        <v>995 University Ave. Suite 220A, St. Paul, MN</v>
      </c>
    </row>
    <row r="123" spans="1:4" x14ac:dyDescent="0.25">
      <c r="A123" t="s">
        <v>194</v>
      </c>
      <c r="B123" t="s">
        <v>195</v>
      </c>
      <c r="C123" t="s">
        <v>506</v>
      </c>
      <c r="D123" t="str">
        <f t="shared" si="1"/>
        <v>1282 Concordia Avenue, St. Paul, MN</v>
      </c>
    </row>
    <row r="124" spans="1:4" x14ac:dyDescent="0.25">
      <c r="A124" t="s">
        <v>696</v>
      </c>
      <c r="B124" t="s">
        <v>697</v>
      </c>
      <c r="C124" t="s">
        <v>507</v>
      </c>
      <c r="D124" t="str">
        <f t="shared" si="1"/>
        <v>7800 Metro Parkway, Suite 300, Bloomington, MN</v>
      </c>
    </row>
    <row r="125" spans="1:4" x14ac:dyDescent="0.25">
      <c r="A125" t="s">
        <v>984</v>
      </c>
      <c r="B125" t="s">
        <v>985</v>
      </c>
      <c r="C125" t="s">
        <v>815</v>
      </c>
      <c r="D125" t="str">
        <f t="shared" si="1"/>
        <v>P.O. Box 130776, Roseville, MN</v>
      </c>
    </row>
    <row r="126" spans="1:4" x14ac:dyDescent="0.25">
      <c r="A126" t="s">
        <v>1459</v>
      </c>
      <c r="B126" t="s">
        <v>1460</v>
      </c>
      <c r="C126" t="s">
        <v>1157</v>
      </c>
      <c r="D126" t="str">
        <f t="shared" si="1"/>
        <v>449 Troutman Street, Suite A, Brooklyn, NY</v>
      </c>
    </row>
    <row r="127" spans="1:4" x14ac:dyDescent="0.25">
      <c r="A127" t="s">
        <v>196</v>
      </c>
      <c r="B127" t="s">
        <v>197</v>
      </c>
      <c r="C127" t="s">
        <v>523</v>
      </c>
      <c r="D127" t="str">
        <f t="shared" si="1"/>
        <v>184 Bush Road, Cobleskill, NY</v>
      </c>
    </row>
    <row r="128" spans="1:4" x14ac:dyDescent="0.25">
      <c r="A128" t="s">
        <v>1538</v>
      </c>
      <c r="B128" t="s">
        <v>1539</v>
      </c>
      <c r="C128" t="s">
        <v>502</v>
      </c>
      <c r="D128" t="str">
        <f t="shared" si="1"/>
        <v>717 E  River Rd, Minneapolis, MN</v>
      </c>
    </row>
    <row r="129" spans="1:4" x14ac:dyDescent="0.25">
      <c r="A129" t="s">
        <v>198</v>
      </c>
      <c r="B129" t="s">
        <v>199</v>
      </c>
      <c r="C129" t="s">
        <v>502</v>
      </c>
      <c r="D129" t="str">
        <f t="shared" si="1"/>
        <v>P. O. Box 80642, Minneapolis, MN</v>
      </c>
    </row>
    <row r="130" spans="1:4" x14ac:dyDescent="0.25">
      <c r="A130" t="s">
        <v>986</v>
      </c>
      <c r="B130" t="s">
        <v>987</v>
      </c>
      <c r="C130" t="s">
        <v>531</v>
      </c>
      <c r="D130" t="str">
        <f t="shared" ref="D130:D193" si="2">_xlfn.CONCAT(B130,", ",C130)</f>
        <v>37 28th Ave. North Suite 102, St. Cloud, MN</v>
      </c>
    </row>
    <row r="131" spans="1:4" x14ac:dyDescent="0.25">
      <c r="A131" t="s">
        <v>93</v>
      </c>
      <c r="B131" t="s">
        <v>821</v>
      </c>
      <c r="C131" t="s">
        <v>822</v>
      </c>
      <c r="D131" t="str">
        <f t="shared" si="2"/>
        <v>216 North Oak Avenue, Owatonna, MN</v>
      </c>
    </row>
    <row r="132" spans="1:4" x14ac:dyDescent="0.25">
      <c r="A132" t="s">
        <v>988</v>
      </c>
      <c r="B132" t="s">
        <v>989</v>
      </c>
      <c r="C132" t="s">
        <v>505</v>
      </c>
      <c r="D132" t="str">
        <f t="shared" si="2"/>
        <v>1014 19th St. S., Moorhead, MN</v>
      </c>
    </row>
    <row r="133" spans="1:4" x14ac:dyDescent="0.25">
      <c r="A133" t="s">
        <v>39</v>
      </c>
      <c r="B133" t="s">
        <v>823</v>
      </c>
      <c r="C133" t="s">
        <v>502</v>
      </c>
      <c r="D133" t="str">
        <f t="shared" si="2"/>
        <v>3715 Chicago Avenue, Minneapolis, MN</v>
      </c>
    </row>
    <row r="134" spans="1:4" x14ac:dyDescent="0.25">
      <c r="A134" t="s">
        <v>698</v>
      </c>
      <c r="B134" t="s">
        <v>699</v>
      </c>
      <c r="C134" t="s">
        <v>700</v>
      </c>
      <c r="D134" t="str">
        <f t="shared" si="2"/>
        <v>3300 Century Ave. N, White Bear Lake, MN</v>
      </c>
    </row>
    <row r="135" spans="1:4" x14ac:dyDescent="0.25">
      <c r="A135" t="s">
        <v>1461</v>
      </c>
      <c r="B135" t="s">
        <v>1462</v>
      </c>
      <c r="C135" t="s">
        <v>1463</v>
      </c>
      <c r="D135" t="str">
        <f t="shared" si="2"/>
        <v>PO Box 57, Chalkyitsik, AK</v>
      </c>
    </row>
    <row r="136" spans="1:4" x14ac:dyDescent="0.25">
      <c r="A136" t="s">
        <v>624</v>
      </c>
      <c r="B136" t="s">
        <v>625</v>
      </c>
      <c r="C136" t="s">
        <v>545</v>
      </c>
      <c r="D136" t="str">
        <f t="shared" si="2"/>
        <v>PO Box 475164, San Francisco, CA</v>
      </c>
    </row>
    <row r="137" spans="1:4" x14ac:dyDescent="0.25">
      <c r="A137" t="s">
        <v>347</v>
      </c>
      <c r="B137" t="s">
        <v>348</v>
      </c>
      <c r="C137" t="s">
        <v>515</v>
      </c>
      <c r="D137" t="str">
        <f t="shared" si="2"/>
        <v>579 Wells Street, Saint Paul, MN</v>
      </c>
    </row>
    <row r="138" spans="1:4" x14ac:dyDescent="0.25">
      <c r="A138" t="s">
        <v>990</v>
      </c>
      <c r="B138" t="s">
        <v>991</v>
      </c>
      <c r="C138" t="s">
        <v>992</v>
      </c>
      <c r="D138" t="str">
        <f t="shared" si="2"/>
        <v>P.O. Box 410 1200 Missouri Ave St 102, Eagle Butte, SD</v>
      </c>
    </row>
    <row r="139" spans="1:4" x14ac:dyDescent="0.25">
      <c r="A139" t="s">
        <v>993</v>
      </c>
      <c r="B139" t="s">
        <v>994</v>
      </c>
      <c r="C139" t="s">
        <v>506</v>
      </c>
      <c r="D139" t="str">
        <f t="shared" si="2"/>
        <v>60 Empire Dr., Ste. 203, St. Paul, MN</v>
      </c>
    </row>
    <row r="140" spans="1:4" x14ac:dyDescent="0.25">
      <c r="A140" t="s">
        <v>995</v>
      </c>
      <c r="B140" t="s">
        <v>996</v>
      </c>
      <c r="C140" t="s">
        <v>506</v>
      </c>
      <c r="D140" t="str">
        <f t="shared" si="2"/>
        <v>709 University Ave W, St. Paul, MN</v>
      </c>
    </row>
    <row r="141" spans="1:4" x14ac:dyDescent="0.25">
      <c r="A141" t="s">
        <v>997</v>
      </c>
      <c r="B141" t="s">
        <v>998</v>
      </c>
      <c r="C141" t="s">
        <v>502</v>
      </c>
      <c r="D141" t="str">
        <f t="shared" si="2"/>
        <v>214 Social Sciences Tower, 267 19th Ave. N, Minneapolis, MN</v>
      </c>
    </row>
    <row r="142" spans="1:4" x14ac:dyDescent="0.25">
      <c r="A142" t="s">
        <v>1695</v>
      </c>
      <c r="B142" t="s">
        <v>1696</v>
      </c>
      <c r="C142" t="s">
        <v>1357</v>
      </c>
      <c r="D142" t="str">
        <f t="shared" si="2"/>
        <v>6425 W 33rd Street, St. Louis Park, MN</v>
      </c>
    </row>
    <row r="143" spans="1:4" x14ac:dyDescent="0.25">
      <c r="A143" t="s">
        <v>202</v>
      </c>
      <c r="B143" t="s">
        <v>203</v>
      </c>
      <c r="C143" t="s">
        <v>502</v>
      </c>
      <c r="D143" t="str">
        <f t="shared" si="2"/>
        <v>636 Broadway St NE, Minneapolis, MN</v>
      </c>
    </row>
    <row r="144" spans="1:4" x14ac:dyDescent="0.25">
      <c r="A144" t="s">
        <v>1540</v>
      </c>
      <c r="B144" t="s">
        <v>1541</v>
      </c>
      <c r="C144" t="s">
        <v>1542</v>
      </c>
      <c r="D144" t="str">
        <f t="shared" si="2"/>
        <v>28175 Countryside Drive, Braunfels, TX</v>
      </c>
    </row>
    <row r="145" spans="1:4" x14ac:dyDescent="0.25">
      <c r="A145" t="s">
        <v>108</v>
      </c>
      <c r="B145" t="s">
        <v>204</v>
      </c>
      <c r="C145" t="s">
        <v>524</v>
      </c>
      <c r="D145" t="str">
        <f t="shared" si="2"/>
        <v>102 West 2nd Street, Duluth, MN</v>
      </c>
    </row>
    <row r="146" spans="1:4" x14ac:dyDescent="0.25">
      <c r="A146" t="s">
        <v>999</v>
      </c>
      <c r="B146" t="s">
        <v>1000</v>
      </c>
      <c r="C146" t="s">
        <v>524</v>
      </c>
      <c r="D146" t="str">
        <f t="shared" si="2"/>
        <v>102 W 2nd St, Duluth, MN</v>
      </c>
    </row>
    <row r="147" spans="1:4" x14ac:dyDescent="0.25">
      <c r="A147" t="s">
        <v>205</v>
      </c>
      <c r="B147" t="s">
        <v>206</v>
      </c>
      <c r="C147" t="s">
        <v>502</v>
      </c>
      <c r="D147" t="str">
        <f t="shared" si="2"/>
        <v>1201 E. Lake Street P. O. Box 7313, Minneapolis, MN</v>
      </c>
    </row>
    <row r="148" spans="1:4" x14ac:dyDescent="0.25">
      <c r="A148" t="s">
        <v>1002</v>
      </c>
      <c r="B148" t="s">
        <v>1003</v>
      </c>
      <c r="C148" t="s">
        <v>506</v>
      </c>
      <c r="D148" t="str">
        <f t="shared" si="2"/>
        <v>2395 University Ave W  Suite 317, St. Paul, MN</v>
      </c>
    </row>
    <row r="149" spans="1:4" x14ac:dyDescent="0.25">
      <c r="A149" t="s">
        <v>1004</v>
      </c>
      <c r="B149" t="s">
        <v>1005</v>
      </c>
      <c r="C149" t="s">
        <v>1006</v>
      </c>
      <c r="D149" t="str">
        <f t="shared" si="2"/>
        <v>43970 Ginger Ave, P.O. Box 111, Harris, MN</v>
      </c>
    </row>
    <row r="150" spans="1:4" x14ac:dyDescent="0.25">
      <c r="A150" t="s">
        <v>1007</v>
      </c>
      <c r="B150" t="s">
        <v>1008</v>
      </c>
      <c r="C150" t="s">
        <v>502</v>
      </c>
      <c r="D150" t="str">
        <f t="shared" si="2"/>
        <v>2017 E 38th St, Minneapolis, MN</v>
      </c>
    </row>
    <row r="151" spans="1:4" x14ac:dyDescent="0.25">
      <c r="A151" t="s">
        <v>701</v>
      </c>
      <c r="B151" t="s">
        <v>702</v>
      </c>
      <c r="C151" t="s">
        <v>703</v>
      </c>
      <c r="D151" t="str">
        <f t="shared" si="2"/>
        <v>1011 Sibley Memorial Hwy, Lilydale, MN</v>
      </c>
    </row>
    <row r="152" spans="1:4" x14ac:dyDescent="0.25">
      <c r="A152" t="s">
        <v>704</v>
      </c>
      <c r="B152" t="s">
        <v>705</v>
      </c>
      <c r="C152" t="s">
        <v>502</v>
      </c>
      <c r="D152" t="str">
        <f t="shared" si="2"/>
        <v>350 South 5th Street, Minneapolis, MN</v>
      </c>
    </row>
    <row r="153" spans="1:4" x14ac:dyDescent="0.25">
      <c r="A153" t="s">
        <v>1009</v>
      </c>
      <c r="B153" t="s">
        <v>1010</v>
      </c>
      <c r="C153" t="s">
        <v>502</v>
      </c>
      <c r="D153" t="str">
        <f t="shared" si="2"/>
        <v>835 Linwood Ave., Minneapolis, MN</v>
      </c>
    </row>
    <row r="154" spans="1:4" x14ac:dyDescent="0.25">
      <c r="A154" t="s">
        <v>738</v>
      </c>
      <c r="B154" t="s">
        <v>739</v>
      </c>
      <c r="C154" t="s">
        <v>740</v>
      </c>
      <c r="D154" t="str">
        <f t="shared" si="2"/>
        <v>PO Box 329 Station B, Happy Valley, Goose Bay, NL</v>
      </c>
    </row>
    <row r="155" spans="1:4" x14ac:dyDescent="0.25">
      <c r="A155" t="s">
        <v>667</v>
      </c>
      <c r="B155" t="s">
        <v>668</v>
      </c>
      <c r="C155" t="s">
        <v>502</v>
      </c>
      <c r="D155" t="str">
        <f t="shared" si="2"/>
        <v>308 Hennepin Ave. East, Minneapolis, MN</v>
      </c>
    </row>
    <row r="156" spans="1:4" x14ac:dyDescent="0.25">
      <c r="A156" t="s">
        <v>1417</v>
      </c>
      <c r="B156" t="s">
        <v>1418</v>
      </c>
      <c r="C156" t="s">
        <v>502</v>
      </c>
      <c r="D156" t="str">
        <f t="shared" si="2"/>
        <v>2801 21st Ave. S. Suite 110, Minneapolis, MN</v>
      </c>
    </row>
    <row r="157" spans="1:4" x14ac:dyDescent="0.25">
      <c r="A157" t="s">
        <v>760</v>
      </c>
      <c r="B157" t="s">
        <v>761</v>
      </c>
      <c r="C157" t="s">
        <v>762</v>
      </c>
      <c r="D157" t="str">
        <f t="shared" si="2"/>
        <v>P.O. Box 603, Immokalee, FL</v>
      </c>
    </row>
    <row r="158" spans="1:4" x14ac:dyDescent="0.25">
      <c r="A158" t="s">
        <v>1543</v>
      </c>
      <c r="B158" t="s">
        <v>1186</v>
      </c>
      <c r="C158" t="s">
        <v>502</v>
      </c>
      <c r="D158" t="str">
        <f t="shared" si="2"/>
        <v>Bad Address, Minneapolis, MN</v>
      </c>
    </row>
    <row r="159" spans="1:4" x14ac:dyDescent="0.25">
      <c r="A159" t="s">
        <v>1011</v>
      </c>
      <c r="B159" t="s">
        <v>1012</v>
      </c>
      <c r="C159" t="s">
        <v>1013</v>
      </c>
      <c r="D159" t="str">
        <f t="shared" si="2"/>
        <v>2010 Linden Ave, Venice, CA</v>
      </c>
    </row>
    <row r="160" spans="1:4" x14ac:dyDescent="0.25">
      <c r="A160" t="s">
        <v>209</v>
      </c>
      <c r="B160" t="s">
        <v>210</v>
      </c>
      <c r="C160" t="s">
        <v>506</v>
      </c>
      <c r="D160" t="str">
        <f t="shared" si="2"/>
        <v>1515 Brewster St, St. Paul, MN</v>
      </c>
    </row>
    <row r="161" spans="1:4" x14ac:dyDescent="0.25">
      <c r="A161" t="s">
        <v>766</v>
      </c>
      <c r="B161" t="s">
        <v>767</v>
      </c>
      <c r="C161" t="s">
        <v>549</v>
      </c>
      <c r="D161" t="str">
        <f t="shared" si="2"/>
        <v>1714 Franklin Street, Suite 100-136, Oakland, CA</v>
      </c>
    </row>
    <row r="162" spans="1:4" x14ac:dyDescent="0.25">
      <c r="A162" t="s">
        <v>1630</v>
      </c>
      <c r="B162" t="s">
        <v>1631</v>
      </c>
      <c r="C162" t="s">
        <v>528</v>
      </c>
      <c r="D162" t="str">
        <f t="shared" si="2"/>
        <v>1133 19th Street NW 9th Floor, Washington, DC</v>
      </c>
    </row>
    <row r="163" spans="1:4" x14ac:dyDescent="0.25">
      <c r="A163" t="s">
        <v>1014</v>
      </c>
      <c r="B163" t="s">
        <v>941</v>
      </c>
      <c r="C163" t="s">
        <v>506</v>
      </c>
      <c r="D163" t="str">
        <f t="shared" si="2"/>
        <v>550 Rice Street, St. Paul, MN</v>
      </c>
    </row>
    <row r="164" spans="1:4" x14ac:dyDescent="0.25">
      <c r="A164" t="s">
        <v>600</v>
      </c>
      <c r="B164" t="s">
        <v>601</v>
      </c>
      <c r="C164" t="s">
        <v>502</v>
      </c>
      <c r="D164" t="str">
        <f t="shared" si="2"/>
        <v>4200 Cedar Ave S., Suite 5, Minneapolis, MN</v>
      </c>
    </row>
    <row r="165" spans="1:4" x14ac:dyDescent="0.25">
      <c r="A165" t="s">
        <v>211</v>
      </c>
      <c r="B165" t="s">
        <v>212</v>
      </c>
      <c r="C165" t="s">
        <v>504</v>
      </c>
      <c r="D165" t="str">
        <f t="shared" si="2"/>
        <v>3300 County Road 10 Ste 518D, Brooklyn Center, MN</v>
      </c>
    </row>
    <row r="166" spans="1:4" x14ac:dyDescent="0.25">
      <c r="A166" t="s">
        <v>1015</v>
      </c>
      <c r="B166" t="s">
        <v>1016</v>
      </c>
      <c r="C166" t="s">
        <v>506</v>
      </c>
      <c r="D166" t="str">
        <f t="shared" si="2"/>
        <v>PO Box 13702, St. Paul, MN</v>
      </c>
    </row>
    <row r="167" spans="1:4" x14ac:dyDescent="0.25">
      <c r="A167" t="s">
        <v>1683</v>
      </c>
      <c r="B167" t="s">
        <v>1684</v>
      </c>
      <c r="C167" t="s">
        <v>524</v>
      </c>
      <c r="D167" t="str">
        <f t="shared" si="2"/>
        <v>2424 W 5th Street Ste 102, Duluth, MN</v>
      </c>
    </row>
    <row r="168" spans="1:4" x14ac:dyDescent="0.25">
      <c r="A168" t="s">
        <v>109</v>
      </c>
      <c r="B168" t="s">
        <v>213</v>
      </c>
      <c r="C168" t="s">
        <v>506</v>
      </c>
      <c r="D168" t="str">
        <f t="shared" si="2"/>
        <v>275 4th Street E, Ste 482, St. Paul, MN</v>
      </c>
    </row>
    <row r="169" spans="1:4" x14ac:dyDescent="0.25">
      <c r="A169" t="s">
        <v>214</v>
      </c>
      <c r="B169" t="s">
        <v>215</v>
      </c>
      <c r="C169" t="s">
        <v>502</v>
      </c>
      <c r="D169" t="str">
        <f t="shared" si="2"/>
        <v>1530 Russell Ave N, Minneapolis, MN</v>
      </c>
    </row>
    <row r="170" spans="1:4" x14ac:dyDescent="0.25">
      <c r="A170" t="s">
        <v>216</v>
      </c>
      <c r="B170" t="s">
        <v>217</v>
      </c>
      <c r="C170" t="s">
        <v>525</v>
      </c>
      <c r="D170" t="str">
        <f t="shared" si="2"/>
        <v>7420 Unity Avenue North Suite 310-C, Brooklyn Park, MN</v>
      </c>
    </row>
    <row r="171" spans="1:4" x14ac:dyDescent="0.25">
      <c r="A171" t="s">
        <v>669</v>
      </c>
      <c r="B171" t="s">
        <v>670</v>
      </c>
      <c r="C171" t="s">
        <v>515</v>
      </c>
      <c r="D171" t="str">
        <f t="shared" si="2"/>
        <v>1619 Dayton Ave Ste 323, Saint Paul, MN</v>
      </c>
    </row>
    <row r="172" spans="1:4" x14ac:dyDescent="0.25">
      <c r="A172" t="s">
        <v>49</v>
      </c>
      <c r="B172" t="s">
        <v>1685</v>
      </c>
      <c r="C172" t="s">
        <v>506</v>
      </c>
      <c r="D172" t="str">
        <f t="shared" si="2"/>
        <v>501 N Dale St, Ste 203, St. Paul, MN</v>
      </c>
    </row>
    <row r="173" spans="1:4" x14ac:dyDescent="0.25">
      <c r="A173" t="s">
        <v>1017</v>
      </c>
      <c r="B173" t="s">
        <v>1018</v>
      </c>
      <c r="C173" t="s">
        <v>502</v>
      </c>
      <c r="D173" t="str">
        <f t="shared" si="2"/>
        <v>1521 University Ave SE, Minneapolis, MN</v>
      </c>
    </row>
    <row r="174" spans="1:4" x14ac:dyDescent="0.25">
      <c r="A174" t="s">
        <v>1019</v>
      </c>
      <c r="B174" t="s">
        <v>1020</v>
      </c>
      <c r="C174" t="s">
        <v>502</v>
      </c>
      <c r="D174" t="str">
        <f t="shared" si="2"/>
        <v>420 15 Ave S, Minneapolis, MN</v>
      </c>
    </row>
    <row r="175" spans="1:4" x14ac:dyDescent="0.25">
      <c r="A175" t="s">
        <v>94</v>
      </c>
      <c r="B175" t="s">
        <v>1021</v>
      </c>
      <c r="C175" t="s">
        <v>502</v>
      </c>
      <c r="D175" t="str">
        <f t="shared" si="2"/>
        <v>2101 Hennepin Ave S, Minneapolis, MN</v>
      </c>
    </row>
    <row r="176" spans="1:4" x14ac:dyDescent="0.25">
      <c r="A176" t="s">
        <v>1464</v>
      </c>
      <c r="B176" t="s">
        <v>1465</v>
      </c>
      <c r="C176" t="s">
        <v>502</v>
      </c>
      <c r="D176" t="str">
        <f t="shared" si="2"/>
        <v>1101 West River Parkway Suite 250, Minneapolis, MN</v>
      </c>
    </row>
    <row r="177" spans="1:4" x14ac:dyDescent="0.25">
      <c r="A177" t="s">
        <v>218</v>
      </c>
      <c r="B177" t="s">
        <v>219</v>
      </c>
      <c r="C177" t="s">
        <v>515</v>
      </c>
      <c r="D177" t="str">
        <f t="shared" si="2"/>
        <v>145 University Avenue West, Suite 145, Saint Paul, MN</v>
      </c>
    </row>
    <row r="178" spans="1:4" x14ac:dyDescent="0.25">
      <c r="A178" t="s">
        <v>706</v>
      </c>
      <c r="B178" t="s">
        <v>707</v>
      </c>
      <c r="C178" t="s">
        <v>506</v>
      </c>
      <c r="D178" t="str">
        <f t="shared" si="2"/>
        <v>145 University Ave. West, Suite 450, St. Paul, MN</v>
      </c>
    </row>
    <row r="179" spans="1:4" x14ac:dyDescent="0.25">
      <c r="A179" t="s">
        <v>1022</v>
      </c>
      <c r="B179" t="s">
        <v>1023</v>
      </c>
      <c r="C179" t="s">
        <v>502</v>
      </c>
      <c r="D179" t="str">
        <f t="shared" si="2"/>
        <v>3451 Cedar Ave. S., Minneapolis, MN</v>
      </c>
    </row>
    <row r="180" spans="1:4" x14ac:dyDescent="0.25">
      <c r="A180" t="s">
        <v>1024</v>
      </c>
      <c r="B180" t="s">
        <v>1025</v>
      </c>
      <c r="C180" t="s">
        <v>502</v>
      </c>
      <c r="D180" t="str">
        <f t="shared" si="2"/>
        <v>4164 Cedar Ave, Minneapolis, MN</v>
      </c>
    </row>
    <row r="181" spans="1:4" x14ac:dyDescent="0.25">
      <c r="A181" t="s">
        <v>220</v>
      </c>
      <c r="B181" t="s">
        <v>221</v>
      </c>
      <c r="C181" t="s">
        <v>526</v>
      </c>
      <c r="D181" t="str">
        <f t="shared" si="2"/>
        <v>310 Bortot Dr #22, Gallup, NM</v>
      </c>
    </row>
    <row r="182" spans="1:4" x14ac:dyDescent="0.25">
      <c r="A182" t="s">
        <v>110</v>
      </c>
      <c r="B182" t="s">
        <v>222</v>
      </c>
      <c r="C182" t="s">
        <v>524</v>
      </c>
      <c r="D182" t="str">
        <f t="shared" si="2"/>
        <v>24 N. 21st Ave W, Duluth, MN</v>
      </c>
    </row>
    <row r="183" spans="1:4" x14ac:dyDescent="0.25">
      <c r="A183" t="s">
        <v>831</v>
      </c>
      <c r="B183" t="s">
        <v>233</v>
      </c>
      <c r="C183" t="s">
        <v>502</v>
      </c>
      <c r="D183" t="str">
        <f t="shared" si="2"/>
        <v>PO Box 14616, Minneapolis, MN</v>
      </c>
    </row>
    <row r="184" spans="1:4" x14ac:dyDescent="0.25">
      <c r="A184" t="s">
        <v>223</v>
      </c>
      <c r="B184" t="s">
        <v>224</v>
      </c>
      <c r="C184" t="s">
        <v>502</v>
      </c>
      <c r="D184" t="str">
        <f t="shared" si="2"/>
        <v>310 E 38th Street 3rd Floor CRC, Minneapolis, MN</v>
      </c>
    </row>
    <row r="185" spans="1:4" x14ac:dyDescent="0.25">
      <c r="A185" t="s">
        <v>225</v>
      </c>
      <c r="B185" t="s">
        <v>226</v>
      </c>
      <c r="C185" t="s">
        <v>527</v>
      </c>
      <c r="D185" t="str">
        <f t="shared" si="2"/>
        <v>23390 Road K, Cortez, CO</v>
      </c>
    </row>
    <row r="186" spans="1:4" x14ac:dyDescent="0.25">
      <c r="A186" t="s">
        <v>227</v>
      </c>
      <c r="B186" t="s">
        <v>228</v>
      </c>
      <c r="C186" t="s">
        <v>502</v>
      </c>
      <c r="D186" t="str">
        <f t="shared" si="2"/>
        <v>1610 5th St NE, Minneapolis, MN</v>
      </c>
    </row>
    <row r="187" spans="1:4" x14ac:dyDescent="0.25">
      <c r="A187" t="s">
        <v>78</v>
      </c>
      <c r="B187" t="s">
        <v>1026</v>
      </c>
      <c r="C187" t="s">
        <v>506</v>
      </c>
      <c r="D187" t="str">
        <f t="shared" si="2"/>
        <v>712 University Ave W, St. Paul, MN</v>
      </c>
    </row>
    <row r="188" spans="1:4" x14ac:dyDescent="0.25">
      <c r="A188" t="s">
        <v>229</v>
      </c>
      <c r="B188" t="s">
        <v>230</v>
      </c>
      <c r="C188" t="s">
        <v>502</v>
      </c>
      <c r="D188" t="str">
        <f t="shared" si="2"/>
        <v>2528 Pillsbury Ave S, Minneapolis, MN</v>
      </c>
    </row>
    <row r="189" spans="1:4" x14ac:dyDescent="0.25">
      <c r="A189" t="s">
        <v>1027</v>
      </c>
      <c r="B189" t="s">
        <v>1028</v>
      </c>
      <c r="C189" t="s">
        <v>502</v>
      </c>
      <c r="D189" t="str">
        <f t="shared" si="2"/>
        <v>1433 E Franklin Ave Ste 6, Minneapolis, MN</v>
      </c>
    </row>
    <row r="190" spans="1:4" x14ac:dyDescent="0.25">
      <c r="A190" t="s">
        <v>1029</v>
      </c>
      <c r="B190" t="s">
        <v>1030</v>
      </c>
      <c r="C190" t="s">
        <v>502</v>
      </c>
      <c r="D190" t="str">
        <f t="shared" si="2"/>
        <v>1308 E Franklin Ave., Suite 126, Minneapolis, MN</v>
      </c>
    </row>
    <row r="191" spans="1:4" x14ac:dyDescent="0.25">
      <c r="A191" t="s">
        <v>1466</v>
      </c>
      <c r="B191" t="s">
        <v>1467</v>
      </c>
      <c r="C191" t="s">
        <v>540</v>
      </c>
      <c r="D191" t="str">
        <f t="shared" si="2"/>
        <v>1200 Missouri Ave St 102 P.O. Box 1095, Dickinson, ND</v>
      </c>
    </row>
    <row r="192" spans="1:4" x14ac:dyDescent="0.25">
      <c r="A192" t="s">
        <v>42</v>
      </c>
      <c r="B192" t="s">
        <v>810</v>
      </c>
      <c r="C192" t="s">
        <v>595</v>
      </c>
      <c r="D192" t="str">
        <f t="shared" si="2"/>
        <v>230 West 2nd Street, P.O. Box 2, Morton, MN</v>
      </c>
    </row>
    <row r="193" spans="1:4" x14ac:dyDescent="0.25">
      <c r="A193" t="s">
        <v>438</v>
      </c>
      <c r="B193" t="s">
        <v>246</v>
      </c>
      <c r="C193" t="s">
        <v>575</v>
      </c>
      <c r="D193" t="str">
        <f t="shared" si="2"/>
        <v>965 Payne, St. PAul, MN</v>
      </c>
    </row>
    <row r="194" spans="1:4" x14ac:dyDescent="0.25">
      <c r="A194" t="s">
        <v>1031</v>
      </c>
      <c r="B194" t="s">
        <v>1032</v>
      </c>
      <c r="C194" t="s">
        <v>1033</v>
      </c>
      <c r="D194" t="str">
        <f t="shared" ref="D194:D257" si="3">_xlfn.CONCAT(B194,", ",C194)</f>
        <v>5567 Spruce Road, Mound, MN</v>
      </c>
    </row>
    <row r="195" spans="1:4" x14ac:dyDescent="0.25">
      <c r="A195" t="s">
        <v>1034</v>
      </c>
      <c r="B195" t="s">
        <v>1035</v>
      </c>
      <c r="C195" t="s">
        <v>505</v>
      </c>
      <c r="D195" t="str">
        <f t="shared" si="3"/>
        <v>1304 19-1/2 Street South #13, Moorhead, MN</v>
      </c>
    </row>
    <row r="196" spans="1:4" x14ac:dyDescent="0.25">
      <c r="A196" t="s">
        <v>142</v>
      </c>
      <c r="B196" t="s">
        <v>143</v>
      </c>
      <c r="C196" t="s">
        <v>506</v>
      </c>
      <c r="D196" t="str">
        <f t="shared" si="3"/>
        <v>2380 Wycliff Street, Suite 200, St. Paul, MN</v>
      </c>
    </row>
    <row r="197" spans="1:4" x14ac:dyDescent="0.25">
      <c r="A197" t="s">
        <v>687</v>
      </c>
      <c r="B197" t="s">
        <v>688</v>
      </c>
      <c r="C197" t="s">
        <v>506</v>
      </c>
      <c r="D197" t="str">
        <f t="shared" si="3"/>
        <v>c/o LaCroix-Dalluhn Consulting 1519 Chelsea Street, St. Paul, MN</v>
      </c>
    </row>
    <row r="198" spans="1:4" x14ac:dyDescent="0.25">
      <c r="A198" t="s">
        <v>747</v>
      </c>
      <c r="B198" t="s">
        <v>748</v>
      </c>
      <c r="C198" t="s">
        <v>749</v>
      </c>
      <c r="D198" t="str">
        <f t="shared" si="3"/>
        <v>1038 Campbell Avenue, Detroit Lakes, MN</v>
      </c>
    </row>
    <row r="199" spans="1:4" x14ac:dyDescent="0.25">
      <c r="A199" t="s">
        <v>40</v>
      </c>
      <c r="B199" t="s">
        <v>233</v>
      </c>
      <c r="C199" t="s">
        <v>502</v>
      </c>
      <c r="D199" t="str">
        <f t="shared" si="3"/>
        <v>PO Box 14616, Minneapolis, MN</v>
      </c>
    </row>
    <row r="200" spans="1:4" x14ac:dyDescent="0.25">
      <c r="A200" t="s">
        <v>234</v>
      </c>
      <c r="B200" t="s">
        <v>235</v>
      </c>
      <c r="C200" t="s">
        <v>528</v>
      </c>
      <c r="D200" t="str">
        <f t="shared" si="3"/>
        <v>50 F Street, NW 8th Floor, Washington, DC</v>
      </c>
    </row>
    <row r="201" spans="1:4" x14ac:dyDescent="0.25">
      <c r="A201" t="s">
        <v>1544</v>
      </c>
      <c r="B201" t="s">
        <v>1545</v>
      </c>
      <c r="C201" t="s">
        <v>759</v>
      </c>
      <c r="D201" t="str">
        <f t="shared" si="3"/>
        <v>PO Box 610, Eureka, CA</v>
      </c>
    </row>
    <row r="202" spans="1:4" x14ac:dyDescent="0.25">
      <c r="A202" t="s">
        <v>236</v>
      </c>
      <c r="B202" t="s">
        <v>237</v>
      </c>
      <c r="C202" t="s">
        <v>513</v>
      </c>
      <c r="D202" t="str">
        <f t="shared" si="3"/>
        <v>220 Fifth Avenue, 2nd Flr. , New York, NY</v>
      </c>
    </row>
    <row r="203" spans="1:4" x14ac:dyDescent="0.25">
      <c r="A203" t="s">
        <v>1703</v>
      </c>
      <c r="B203" t="s">
        <v>1704</v>
      </c>
      <c r="C203" t="s">
        <v>1705</v>
      </c>
      <c r="D203" t="str">
        <f t="shared" si="3"/>
        <v>205 Main St. W, Isle, MN</v>
      </c>
    </row>
    <row r="204" spans="1:4" x14ac:dyDescent="0.25">
      <c r="A204" t="s">
        <v>1546</v>
      </c>
      <c r="B204" t="s">
        <v>1547</v>
      </c>
      <c r="C204" t="s">
        <v>1548</v>
      </c>
      <c r="D204" t="str">
        <f t="shared" si="3"/>
        <v>The Directors Council, 101 Locust Street, Des Moines, IA</v>
      </c>
    </row>
    <row r="205" spans="1:4" x14ac:dyDescent="0.25">
      <c r="A205" t="s">
        <v>1036</v>
      </c>
      <c r="B205" t="s">
        <v>1037</v>
      </c>
      <c r="C205" t="s">
        <v>502</v>
      </c>
      <c r="D205" t="str">
        <f t="shared" si="3"/>
        <v>2516 26th St., Minneapolis, MN</v>
      </c>
    </row>
    <row r="206" spans="1:4" x14ac:dyDescent="0.25">
      <c r="A206" t="s">
        <v>1468</v>
      </c>
      <c r="B206" t="s">
        <v>852</v>
      </c>
      <c r="C206" t="s">
        <v>526</v>
      </c>
      <c r="D206" t="str">
        <f t="shared" si="3"/>
        <v>PO Box 5058, Gallup, NM</v>
      </c>
    </row>
    <row r="207" spans="1:4" x14ac:dyDescent="0.25">
      <c r="A207" t="s">
        <v>1038</v>
      </c>
      <c r="B207" t="s">
        <v>1039</v>
      </c>
      <c r="C207" t="s">
        <v>506</v>
      </c>
      <c r="D207" t="str">
        <f t="shared" si="3"/>
        <v>2105 1/2 Old Hudson Road, St. Paul, MN</v>
      </c>
    </row>
    <row r="208" spans="1:4" x14ac:dyDescent="0.25">
      <c r="A208" t="s">
        <v>96</v>
      </c>
      <c r="B208" t="s">
        <v>602</v>
      </c>
      <c r="C208" t="s">
        <v>506</v>
      </c>
      <c r="D208" t="str">
        <f t="shared" si="3"/>
        <v>25 6th Street W, St. Paul, MN</v>
      </c>
    </row>
    <row r="209" spans="1:4" x14ac:dyDescent="0.25">
      <c r="A209" t="s">
        <v>708</v>
      </c>
      <c r="B209" t="s">
        <v>709</v>
      </c>
      <c r="C209" t="s">
        <v>521</v>
      </c>
      <c r="D209" t="str">
        <f t="shared" si="3"/>
        <v>1130 1/2 7th St NW, Suite #204, Rochester, MN</v>
      </c>
    </row>
    <row r="210" spans="1:4" x14ac:dyDescent="0.25">
      <c r="A210" t="s">
        <v>240</v>
      </c>
      <c r="B210" t="s">
        <v>241</v>
      </c>
      <c r="C210" t="s">
        <v>502</v>
      </c>
      <c r="D210" t="str">
        <f t="shared" si="3"/>
        <v>711 W Lake St, Ste 101, Minneapolis, MN</v>
      </c>
    </row>
    <row r="211" spans="1:4" x14ac:dyDescent="0.25">
      <c r="A211" t="s">
        <v>593</v>
      </c>
      <c r="B211" t="s">
        <v>594</v>
      </c>
      <c r="C211" t="s">
        <v>595</v>
      </c>
      <c r="D211" t="str">
        <f t="shared" si="3"/>
        <v>230 W. 2nd Street, Morton, MN</v>
      </c>
    </row>
    <row r="212" spans="1:4" x14ac:dyDescent="0.25">
      <c r="A212" t="s">
        <v>21</v>
      </c>
      <c r="B212" t="s">
        <v>390</v>
      </c>
      <c r="C212" t="s">
        <v>502</v>
      </c>
      <c r="D212" t="str">
        <f t="shared" si="3"/>
        <v>1308 Franklin Ave Suite 203, Minneapolis, MN</v>
      </c>
    </row>
    <row r="213" spans="1:4" x14ac:dyDescent="0.25">
      <c r="A213" t="s">
        <v>1444</v>
      </c>
      <c r="B213" t="s">
        <v>1445</v>
      </c>
      <c r="C213" t="s">
        <v>513</v>
      </c>
      <c r="D213" t="str">
        <f t="shared" si="3"/>
        <v>120 East 81st Street, New York, NY</v>
      </c>
    </row>
    <row r="214" spans="1:4" x14ac:dyDescent="0.25">
      <c r="A214" t="s">
        <v>1040</v>
      </c>
      <c r="B214" t="s">
        <v>1041</v>
      </c>
      <c r="C214" t="s">
        <v>524</v>
      </c>
      <c r="D214" t="str">
        <f t="shared" si="3"/>
        <v>115 South 29th Avenue West, Duluth, MN</v>
      </c>
    </row>
    <row r="215" spans="1:4" x14ac:dyDescent="0.25">
      <c r="A215" t="s">
        <v>242</v>
      </c>
      <c r="B215" t="s">
        <v>243</v>
      </c>
      <c r="C215" t="s">
        <v>529</v>
      </c>
      <c r="D215" t="str">
        <f t="shared" si="3"/>
        <v>3980 Broadway Street, Boulder, CO</v>
      </c>
    </row>
    <row r="216" spans="1:4" x14ac:dyDescent="0.25">
      <c r="A216" t="s">
        <v>1549</v>
      </c>
      <c r="B216" t="s">
        <v>1550</v>
      </c>
      <c r="C216" t="s">
        <v>545</v>
      </c>
      <c r="D216" t="str">
        <f t="shared" si="3"/>
        <v>300 Broadway, #28, San Francisco, CA</v>
      </c>
    </row>
    <row r="217" spans="1:4" x14ac:dyDescent="0.25">
      <c r="A217" t="s">
        <v>1042</v>
      </c>
      <c r="B217" t="s">
        <v>1043</v>
      </c>
      <c r="C217" t="s">
        <v>1044</v>
      </c>
      <c r="D217" t="str">
        <f t="shared" si="3"/>
        <v>2254 S. 12th Street, Milwaukee, WI</v>
      </c>
    </row>
    <row r="218" spans="1:4" x14ac:dyDescent="0.25">
      <c r="A218" t="s">
        <v>858</v>
      </c>
      <c r="B218" t="s">
        <v>859</v>
      </c>
      <c r="C218" t="s">
        <v>860</v>
      </c>
      <c r="D218" t="str">
        <f t="shared" si="3"/>
        <v>PO Box 163, New Town, ND</v>
      </c>
    </row>
    <row r="219" spans="1:4" x14ac:dyDescent="0.25">
      <c r="A219" t="s">
        <v>1045</v>
      </c>
      <c r="B219" t="s">
        <v>1046</v>
      </c>
      <c r="C219" t="s">
        <v>524</v>
      </c>
      <c r="D219" t="str">
        <f t="shared" si="3"/>
        <v>1406 E 2nd St Suite B, Duluth, MN</v>
      </c>
    </row>
    <row r="220" spans="1:4" x14ac:dyDescent="0.25">
      <c r="A220" t="s">
        <v>1047</v>
      </c>
      <c r="B220" t="s">
        <v>1048</v>
      </c>
      <c r="C220" t="s">
        <v>1049</v>
      </c>
      <c r="D220" t="str">
        <f t="shared" si="3"/>
        <v>801 Jenny Avenue Southwest, Suite #2, Perham, MN</v>
      </c>
    </row>
    <row r="221" spans="1:4" x14ac:dyDescent="0.25">
      <c r="A221" t="s">
        <v>244</v>
      </c>
      <c r="B221" t="s">
        <v>245</v>
      </c>
      <c r="C221" t="s">
        <v>502</v>
      </c>
      <c r="D221" t="str">
        <f t="shared" si="3"/>
        <v>2536 18th Ave S, Minneapolis, MN</v>
      </c>
    </row>
    <row r="222" spans="1:4" x14ac:dyDescent="0.25">
      <c r="A222" t="s">
        <v>1050</v>
      </c>
      <c r="B222" t="s">
        <v>1051</v>
      </c>
      <c r="C222" t="s">
        <v>506</v>
      </c>
      <c r="D222" t="str">
        <f t="shared" si="3"/>
        <v>789 E 7th Street, St. Paul, MN</v>
      </c>
    </row>
    <row r="223" spans="1:4" x14ac:dyDescent="0.25">
      <c r="A223" t="s">
        <v>1675</v>
      </c>
      <c r="B223" t="s">
        <v>1676</v>
      </c>
      <c r="C223" t="s">
        <v>515</v>
      </c>
      <c r="D223" t="str">
        <f t="shared" si="3"/>
        <v>835 6th St E, Saint Paul, MN</v>
      </c>
    </row>
    <row r="224" spans="1:4" x14ac:dyDescent="0.25">
      <c r="A224" t="s">
        <v>5</v>
      </c>
      <c r="B224" t="s">
        <v>246</v>
      </c>
      <c r="C224" t="s">
        <v>506</v>
      </c>
      <c r="D224" t="str">
        <f t="shared" si="3"/>
        <v>965 Payne, St. Paul, MN</v>
      </c>
    </row>
    <row r="225" spans="1:4" x14ac:dyDescent="0.25">
      <c r="A225" t="s">
        <v>1052</v>
      </c>
      <c r="B225" t="s">
        <v>348</v>
      </c>
      <c r="C225" t="s">
        <v>506</v>
      </c>
      <c r="D225" t="str">
        <f t="shared" si="3"/>
        <v>579 Wells Street, St. Paul, MN</v>
      </c>
    </row>
    <row r="226" spans="1:4" x14ac:dyDescent="0.25">
      <c r="A226" t="s">
        <v>870</v>
      </c>
      <c r="B226" t="s">
        <v>871</v>
      </c>
      <c r="C226" t="s">
        <v>872</v>
      </c>
      <c r="D226" t="str">
        <f t="shared" si="3"/>
        <v>2020 Tired Man Road, Billings, MT</v>
      </c>
    </row>
    <row r="227" spans="1:4" x14ac:dyDescent="0.25">
      <c r="A227" t="s">
        <v>251</v>
      </c>
      <c r="B227" t="s">
        <v>252</v>
      </c>
      <c r="C227" t="s">
        <v>502</v>
      </c>
      <c r="D227" t="str">
        <f t="shared" si="3"/>
        <v>2608 Blaisdell Ave S, Minneapolis, MN</v>
      </c>
    </row>
    <row r="228" spans="1:4" x14ac:dyDescent="0.25">
      <c r="A228" t="s">
        <v>253</v>
      </c>
      <c r="B228" t="s">
        <v>254</v>
      </c>
      <c r="C228" t="s">
        <v>502</v>
      </c>
      <c r="D228" t="str">
        <f t="shared" si="3"/>
        <v>2801 21st Avenue Sout, Suite 132 B, Minneapolis, MN</v>
      </c>
    </row>
    <row r="229" spans="1:4" x14ac:dyDescent="0.25">
      <c r="A229" t="s">
        <v>1053</v>
      </c>
      <c r="B229" t="s">
        <v>1054</v>
      </c>
      <c r="C229" t="s">
        <v>506</v>
      </c>
      <c r="D229" t="str">
        <f t="shared" si="3"/>
        <v>125 Charles Ave, St. Paul, MN</v>
      </c>
    </row>
    <row r="230" spans="1:4" x14ac:dyDescent="0.25">
      <c r="A230" t="s">
        <v>249</v>
      </c>
      <c r="B230" t="s">
        <v>250</v>
      </c>
      <c r="C230" t="s">
        <v>522</v>
      </c>
      <c r="D230" t="str">
        <f t="shared" si="3"/>
        <v>8501 54th Avenue North, New Hope, MN</v>
      </c>
    </row>
    <row r="231" spans="1:4" x14ac:dyDescent="0.25">
      <c r="A231" t="s">
        <v>596</v>
      </c>
      <c r="B231" t="s">
        <v>597</v>
      </c>
      <c r="C231" t="s">
        <v>502</v>
      </c>
      <c r="D231" t="str">
        <f t="shared" si="3"/>
        <v>2023 Milwaukee Avenue, Minneapolis, MN</v>
      </c>
    </row>
    <row r="232" spans="1:4" x14ac:dyDescent="0.25">
      <c r="A232" t="s">
        <v>1551</v>
      </c>
      <c r="B232" t="s">
        <v>1552</v>
      </c>
      <c r="C232" t="s">
        <v>1553</v>
      </c>
      <c r="D232" t="str">
        <f t="shared" si="3"/>
        <v>2221 N. 24th Street, Omaha, NE</v>
      </c>
    </row>
    <row r="233" spans="1:4" x14ac:dyDescent="0.25">
      <c r="A233" t="s">
        <v>255</v>
      </c>
      <c r="B233" t="s">
        <v>256</v>
      </c>
      <c r="C233" t="s">
        <v>530</v>
      </c>
      <c r="D233" t="str">
        <f t="shared" si="3"/>
        <v>2841 Snider Lake Road, Waubun, MN</v>
      </c>
    </row>
    <row r="234" spans="1:4" x14ac:dyDescent="0.25">
      <c r="A234" t="s">
        <v>768</v>
      </c>
      <c r="B234" t="s">
        <v>769</v>
      </c>
      <c r="C234" t="s">
        <v>528</v>
      </c>
      <c r="D234" t="str">
        <f t="shared" si="3"/>
        <v>1228 1/2 31st Street NW, Washington, DC</v>
      </c>
    </row>
    <row r="235" spans="1:4" x14ac:dyDescent="0.25">
      <c r="A235" t="s">
        <v>626</v>
      </c>
      <c r="B235" t="s">
        <v>627</v>
      </c>
      <c r="C235" t="s">
        <v>502</v>
      </c>
      <c r="D235" t="str">
        <f t="shared" si="3"/>
        <v>3700 Bryant Ave N # 201, Minneapolis, MN</v>
      </c>
    </row>
    <row r="236" spans="1:4" x14ac:dyDescent="0.25">
      <c r="A236" t="s">
        <v>97</v>
      </c>
      <c r="B236" t="s">
        <v>257</v>
      </c>
      <c r="C236" t="s">
        <v>531</v>
      </c>
      <c r="D236" t="str">
        <f t="shared" si="3"/>
        <v>P.O. Box 981, St. Cloud, MN</v>
      </c>
    </row>
    <row r="237" spans="1:4" x14ac:dyDescent="0.25">
      <c r="A237" t="s">
        <v>171</v>
      </c>
      <c r="B237" t="s">
        <v>172</v>
      </c>
      <c r="C237" t="s">
        <v>517</v>
      </c>
      <c r="D237" t="str">
        <f t="shared" si="3"/>
        <v>2377 Dancing Wind Rd SW, Pine River, MN</v>
      </c>
    </row>
    <row r="238" spans="1:4" x14ac:dyDescent="0.25">
      <c r="A238" t="s">
        <v>1055</v>
      </c>
      <c r="B238" t="s">
        <v>1056</v>
      </c>
      <c r="C238" t="s">
        <v>502</v>
      </c>
      <c r="D238" t="str">
        <f t="shared" si="3"/>
        <v>2730 East 31st Street, Minneapolis, MN</v>
      </c>
    </row>
    <row r="239" spans="1:4" x14ac:dyDescent="0.25">
      <c r="A239" t="s">
        <v>1057</v>
      </c>
      <c r="B239" t="s">
        <v>1058</v>
      </c>
      <c r="C239" t="s">
        <v>1059</v>
      </c>
      <c r="D239" t="str">
        <f t="shared" si="3"/>
        <v>PO Box 460, Cordova, AK</v>
      </c>
    </row>
    <row r="240" spans="1:4" x14ac:dyDescent="0.25">
      <c r="A240" t="s">
        <v>1060</v>
      </c>
      <c r="B240" t="s">
        <v>1061</v>
      </c>
      <c r="C240" t="s">
        <v>502</v>
      </c>
      <c r="D240" t="str">
        <f t="shared" si="3"/>
        <v>P.O. Box 7475, Minneapolis, MN</v>
      </c>
    </row>
    <row r="241" spans="1:4" x14ac:dyDescent="0.25">
      <c r="A241" t="s">
        <v>258</v>
      </c>
      <c r="B241" t="s">
        <v>259</v>
      </c>
      <c r="C241" t="s">
        <v>532</v>
      </c>
      <c r="D241" t="str">
        <f t="shared" si="3"/>
        <v>6930 Carroll Avenue, Suite 240, Takoma Park, MD</v>
      </c>
    </row>
    <row r="242" spans="1:4" x14ac:dyDescent="0.25">
      <c r="A242" t="s">
        <v>750</v>
      </c>
      <c r="B242" t="s">
        <v>751</v>
      </c>
      <c r="C242" t="s">
        <v>502</v>
      </c>
      <c r="D242" t="str">
        <f t="shared" si="3"/>
        <v>3606 Harriet AveS, Minneapolis, MN</v>
      </c>
    </row>
    <row r="243" spans="1:4" x14ac:dyDescent="0.25">
      <c r="A243" t="s">
        <v>1062</v>
      </c>
      <c r="B243" t="s">
        <v>1063</v>
      </c>
      <c r="C243" t="s">
        <v>502</v>
      </c>
      <c r="D243" t="str">
        <f t="shared" si="3"/>
        <v>PO Box 3898, Minneapolis, MN</v>
      </c>
    </row>
    <row r="244" spans="1:4" x14ac:dyDescent="0.25">
      <c r="A244" t="s">
        <v>63</v>
      </c>
      <c r="B244" t="s">
        <v>260</v>
      </c>
      <c r="C244" t="s">
        <v>515</v>
      </c>
      <c r="D244" t="str">
        <f t="shared" si="3"/>
        <v>1619 Dayton Avenue, Suite 205, Saint Paul, MN</v>
      </c>
    </row>
    <row r="245" spans="1:4" x14ac:dyDescent="0.25">
      <c r="A245" t="s">
        <v>310</v>
      </c>
      <c r="B245" t="s">
        <v>311</v>
      </c>
      <c r="C245" t="s">
        <v>548</v>
      </c>
      <c r="D245" t="str">
        <f t="shared" si="3"/>
        <v>227 East Main st, Mankato, MN</v>
      </c>
    </row>
    <row r="246" spans="1:4" x14ac:dyDescent="0.25">
      <c r="A246" t="s">
        <v>1064</v>
      </c>
      <c r="B246" t="s">
        <v>1065</v>
      </c>
      <c r="C246" t="s">
        <v>712</v>
      </c>
      <c r="D246" t="str">
        <f t="shared" si="3"/>
        <v>230 Central Avenue, Suite 104, Faribault, MN</v>
      </c>
    </row>
    <row r="247" spans="1:4" x14ac:dyDescent="0.25">
      <c r="A247" t="s">
        <v>485</v>
      </c>
      <c r="B247" t="s">
        <v>486</v>
      </c>
      <c r="C247" t="s">
        <v>584</v>
      </c>
      <c r="D247" t="str">
        <f t="shared" si="3"/>
        <v>1600 East Lake street, Mpls, MN</v>
      </c>
    </row>
    <row r="248" spans="1:4" x14ac:dyDescent="0.25">
      <c r="A248" t="s">
        <v>1632</v>
      </c>
      <c r="B248" t="s">
        <v>1633</v>
      </c>
      <c r="C248" t="s">
        <v>528</v>
      </c>
      <c r="D248" t="str">
        <f t="shared" si="3"/>
        <v>945 G Street NW, Washington, DC</v>
      </c>
    </row>
    <row r="249" spans="1:4" x14ac:dyDescent="0.25">
      <c r="A249" t="s">
        <v>1655</v>
      </c>
      <c r="B249" t="s">
        <v>1656</v>
      </c>
      <c r="C249" t="s">
        <v>1657</v>
      </c>
      <c r="D249" t="str">
        <f t="shared" si="3"/>
        <v>754 16th Ave N, South St. Paul, MN</v>
      </c>
    </row>
    <row r="250" spans="1:4" x14ac:dyDescent="0.25">
      <c r="A250" t="s">
        <v>261</v>
      </c>
      <c r="B250" t="s">
        <v>262</v>
      </c>
      <c r="C250" t="s">
        <v>533</v>
      </c>
      <c r="D250" t="str">
        <f t="shared" si="3"/>
        <v>PO Box 16745, Tampa, FL</v>
      </c>
    </row>
    <row r="251" spans="1:4" x14ac:dyDescent="0.25">
      <c r="A251" t="s">
        <v>1066</v>
      </c>
      <c r="B251" t="s">
        <v>1067</v>
      </c>
      <c r="C251" t="s">
        <v>1068</v>
      </c>
      <c r="D251" t="str">
        <f t="shared" si="3"/>
        <v>11320 Valley View Rd., Eden Pririe, MN</v>
      </c>
    </row>
    <row r="252" spans="1:4" x14ac:dyDescent="0.25">
      <c r="A252" t="s">
        <v>1069</v>
      </c>
      <c r="B252" t="s">
        <v>1070</v>
      </c>
      <c r="C252" t="s">
        <v>506</v>
      </c>
      <c r="D252" t="str">
        <f t="shared" si="3"/>
        <v>798 E 7th Street, St. Paul, MN</v>
      </c>
    </row>
    <row r="253" spans="1:4" x14ac:dyDescent="0.25">
      <c r="A253" t="s">
        <v>1469</v>
      </c>
      <c r="B253" t="s">
        <v>1470</v>
      </c>
      <c r="C253" t="s">
        <v>1471</v>
      </c>
      <c r="D253" t="str">
        <f t="shared" si="3"/>
        <v>PO Box 787, Santa Cruz, NM</v>
      </c>
    </row>
    <row r="254" spans="1:4" x14ac:dyDescent="0.25">
      <c r="A254" t="s">
        <v>125</v>
      </c>
      <c r="B254" t="s">
        <v>126</v>
      </c>
      <c r="C254" t="s">
        <v>505</v>
      </c>
      <c r="D254" t="str">
        <f t="shared" si="3"/>
        <v>810 4th Ave. S. #100, Moorhead, MN</v>
      </c>
    </row>
    <row r="255" spans="1:4" x14ac:dyDescent="0.25">
      <c r="A255" t="s">
        <v>263</v>
      </c>
      <c r="B255" t="s">
        <v>264</v>
      </c>
      <c r="C255" t="s">
        <v>534</v>
      </c>
      <c r="D255" t="str">
        <f t="shared" si="3"/>
        <v>6521 St. Vrain Road, Longmont, CO</v>
      </c>
    </row>
    <row r="256" spans="1:4" x14ac:dyDescent="0.25">
      <c r="A256" t="s">
        <v>265</v>
      </c>
      <c r="B256" t="s">
        <v>266</v>
      </c>
      <c r="C256" t="s">
        <v>503</v>
      </c>
      <c r="D256" t="str">
        <f t="shared" si="3"/>
        <v>1810 S. Park St., Ste 1, Madison, WI</v>
      </c>
    </row>
    <row r="257" spans="1:4" x14ac:dyDescent="0.25">
      <c r="A257" t="s">
        <v>267</v>
      </c>
      <c r="B257" t="s">
        <v>268</v>
      </c>
      <c r="C257" t="s">
        <v>502</v>
      </c>
      <c r="D257" t="str">
        <f t="shared" si="3"/>
        <v>1515 Fremont Ave. N., Minneapolis, MN</v>
      </c>
    </row>
    <row r="258" spans="1:4" x14ac:dyDescent="0.25">
      <c r="A258" t="s">
        <v>1554</v>
      </c>
      <c r="B258" t="s">
        <v>1555</v>
      </c>
      <c r="C258" t="s">
        <v>506</v>
      </c>
      <c r="D258" t="str">
        <f t="shared" ref="D258:D321" si="4">_xlfn.CONCAT(B258,", ",C258)</f>
        <v>1050 Selby Ave, St. Paul, MN</v>
      </c>
    </row>
    <row r="259" spans="1:4" x14ac:dyDescent="0.25">
      <c r="A259" t="s">
        <v>1071</v>
      </c>
      <c r="B259" t="s">
        <v>1072</v>
      </c>
      <c r="C259" t="s">
        <v>502</v>
      </c>
      <c r="D259" t="str">
        <f t="shared" si="4"/>
        <v>401 North Thrid Street Suite 290, Minneapolis, MN</v>
      </c>
    </row>
    <row r="260" spans="1:4" x14ac:dyDescent="0.25">
      <c r="A260" t="s">
        <v>1717</v>
      </c>
      <c r="B260" t="s">
        <v>1718</v>
      </c>
      <c r="C260" t="s">
        <v>528</v>
      </c>
      <c r="D260" t="str">
        <f t="shared" si="4"/>
        <v>1100 15th Street NW 11th Floor, Washington, DC</v>
      </c>
    </row>
    <row r="261" spans="1:4" x14ac:dyDescent="0.25">
      <c r="A261" t="s">
        <v>1556</v>
      </c>
      <c r="B261" t="s">
        <v>1557</v>
      </c>
      <c r="C261" t="s">
        <v>1558</v>
      </c>
      <c r="D261" t="str">
        <f t="shared" si="4"/>
        <v>5878 State Road 70, Webster, WI</v>
      </c>
    </row>
    <row r="262" spans="1:4" x14ac:dyDescent="0.25">
      <c r="A262" t="s">
        <v>269</v>
      </c>
      <c r="B262" t="s">
        <v>270</v>
      </c>
      <c r="C262" t="s">
        <v>535</v>
      </c>
      <c r="D262" t="str">
        <f t="shared" si="4"/>
        <v>5429 LBJ Freeway Suite 1000, Dallas, TX</v>
      </c>
    </row>
    <row r="263" spans="1:4" x14ac:dyDescent="0.25">
      <c r="A263" t="s">
        <v>1559</v>
      </c>
      <c r="B263" t="s">
        <v>1560</v>
      </c>
      <c r="C263" t="s">
        <v>561</v>
      </c>
      <c r="D263" t="str">
        <f t="shared" si="4"/>
        <v>221 North LaSalle Suite 1320, Chicago, IL</v>
      </c>
    </row>
    <row r="264" spans="1:4" x14ac:dyDescent="0.25">
      <c r="A264" t="s">
        <v>1073</v>
      </c>
      <c r="B264" t="s">
        <v>1074</v>
      </c>
      <c r="C264" t="s">
        <v>502</v>
      </c>
      <c r="D264" t="str">
        <f t="shared" si="4"/>
        <v>310 East 38th Street, Suite 204B, Minneapolis, MN</v>
      </c>
    </row>
    <row r="265" spans="1:4" x14ac:dyDescent="0.25">
      <c r="A265" t="s">
        <v>1709</v>
      </c>
      <c r="B265" t="s">
        <v>1710</v>
      </c>
      <c r="C265" t="s">
        <v>1711</v>
      </c>
      <c r="D265" t="str">
        <f t="shared" si="4"/>
        <v>301 Strand St, Gary, MN</v>
      </c>
    </row>
    <row r="266" spans="1:4" x14ac:dyDescent="0.25">
      <c r="A266" t="s">
        <v>391</v>
      </c>
      <c r="B266" t="s">
        <v>392</v>
      </c>
      <c r="C266" t="s">
        <v>502</v>
      </c>
      <c r="D266" t="str">
        <f t="shared" si="4"/>
        <v>P. O. Box 2427, Minneapolis, MN</v>
      </c>
    </row>
    <row r="267" spans="1:4" x14ac:dyDescent="0.25">
      <c r="A267" t="s">
        <v>277</v>
      </c>
      <c r="B267" t="s">
        <v>278</v>
      </c>
      <c r="C267" t="s">
        <v>531</v>
      </c>
      <c r="D267" t="str">
        <f t="shared" si="4"/>
        <v>2719 W Division St Ste 122, St. Cloud, MN</v>
      </c>
    </row>
    <row r="268" spans="1:4" x14ac:dyDescent="0.25">
      <c r="A268" t="s">
        <v>271</v>
      </c>
      <c r="B268" t="s">
        <v>272</v>
      </c>
      <c r="C268" t="s">
        <v>536</v>
      </c>
      <c r="D268" t="str">
        <f t="shared" si="4"/>
        <v>1199 North Fairfax Street Suite 300, Alexandria, VA</v>
      </c>
    </row>
    <row r="269" spans="1:4" x14ac:dyDescent="0.25">
      <c r="A269" t="s">
        <v>1561</v>
      </c>
      <c r="B269" t="s">
        <v>1562</v>
      </c>
      <c r="C269" t="s">
        <v>679</v>
      </c>
      <c r="D269" t="str">
        <f t="shared" si="4"/>
        <v>375 Little Canada Rd. E., Little Canada, MN</v>
      </c>
    </row>
    <row r="270" spans="1:4" x14ac:dyDescent="0.25">
      <c r="A270" t="s">
        <v>1075</v>
      </c>
      <c r="B270" t="s">
        <v>1076</v>
      </c>
      <c r="C270" t="s">
        <v>502</v>
      </c>
      <c r="D270" t="str">
        <f t="shared" si="4"/>
        <v>3100 Longfellow Ave, Minneapolis, MN</v>
      </c>
    </row>
    <row r="271" spans="1:4" x14ac:dyDescent="0.25">
      <c r="A271" t="s">
        <v>789</v>
      </c>
      <c r="B271" t="s">
        <v>790</v>
      </c>
      <c r="C271" t="s">
        <v>538</v>
      </c>
      <c r="D271" t="str">
        <f t="shared" si="4"/>
        <v>1515 Osford Street, #1D, Berkeley, CA</v>
      </c>
    </row>
    <row r="272" spans="1:4" x14ac:dyDescent="0.25">
      <c r="A272" t="s">
        <v>1077</v>
      </c>
      <c r="B272" t="s">
        <v>941</v>
      </c>
      <c r="C272" t="s">
        <v>506</v>
      </c>
      <c r="D272" t="str">
        <f t="shared" si="4"/>
        <v>550 Rice Street, St. Paul, MN</v>
      </c>
    </row>
    <row r="273" spans="1:4" x14ac:dyDescent="0.25">
      <c r="A273" t="s">
        <v>275</v>
      </c>
      <c r="B273" t="s">
        <v>276</v>
      </c>
      <c r="C273" t="s">
        <v>537</v>
      </c>
      <c r="D273" t="str">
        <f t="shared" si="4"/>
        <v>Box 2924, Durango, CO</v>
      </c>
    </row>
    <row r="274" spans="1:4" x14ac:dyDescent="0.25">
      <c r="A274" t="s">
        <v>1078</v>
      </c>
      <c r="B274" t="s">
        <v>1079</v>
      </c>
      <c r="C274" t="s">
        <v>1080</v>
      </c>
      <c r="D274" t="str">
        <f t="shared" si="4"/>
        <v>408 N 4th St., P.O. Box 128, Milan, MN</v>
      </c>
    </row>
    <row r="275" spans="1:4" x14ac:dyDescent="0.25">
      <c r="A275" t="s">
        <v>26</v>
      </c>
      <c r="B275" t="s">
        <v>278</v>
      </c>
      <c r="C275" t="s">
        <v>1081</v>
      </c>
      <c r="D275" t="str">
        <f t="shared" si="4"/>
        <v>2719 W Division St Ste 122, St Cloud, MN</v>
      </c>
    </row>
    <row r="276" spans="1:4" x14ac:dyDescent="0.25">
      <c r="A276" t="s">
        <v>1082</v>
      </c>
      <c r="B276" t="s">
        <v>1083</v>
      </c>
      <c r="C276" t="s">
        <v>1084</v>
      </c>
      <c r="D276" t="str">
        <f t="shared" si="4"/>
        <v>40 N. Park St., Mora, MN</v>
      </c>
    </row>
    <row r="277" spans="1:4" x14ac:dyDescent="0.25">
      <c r="A277" t="s">
        <v>1085</v>
      </c>
      <c r="B277" t="s">
        <v>1086</v>
      </c>
      <c r="C277" t="s">
        <v>502</v>
      </c>
      <c r="D277" t="str">
        <f t="shared" si="4"/>
        <v>1800 Dupont Ave N, Minneapolis, MN</v>
      </c>
    </row>
    <row r="278" spans="1:4" x14ac:dyDescent="0.25">
      <c r="A278" t="s">
        <v>710</v>
      </c>
      <c r="B278" t="s">
        <v>711</v>
      </c>
      <c r="C278" t="s">
        <v>712</v>
      </c>
      <c r="D278" t="str">
        <f t="shared" si="4"/>
        <v>302 Central Ave N Suite 11, Faribault, MN</v>
      </c>
    </row>
    <row r="279" spans="1:4" x14ac:dyDescent="0.25">
      <c r="A279" t="s">
        <v>1087</v>
      </c>
      <c r="B279" t="s">
        <v>1088</v>
      </c>
      <c r="C279" t="s">
        <v>528</v>
      </c>
      <c r="D279" t="str">
        <f t="shared" si="4"/>
        <v>1612 K Street NW, Suite 600, Washington, DC</v>
      </c>
    </row>
    <row r="280" spans="1:4" x14ac:dyDescent="0.25">
      <c r="A280" t="s">
        <v>1688</v>
      </c>
      <c r="B280" t="s">
        <v>674</v>
      </c>
      <c r="C280" t="s">
        <v>502</v>
      </c>
      <c r="D280" t="str">
        <f t="shared" si="4"/>
        <v>2822 Lyndale Ave S, Minneapolis, MN</v>
      </c>
    </row>
    <row r="281" spans="1:4" x14ac:dyDescent="0.25">
      <c r="A281" t="s">
        <v>1089</v>
      </c>
      <c r="B281" t="s">
        <v>1090</v>
      </c>
      <c r="C281" t="s">
        <v>1091</v>
      </c>
      <c r="D281" t="str">
        <f t="shared" si="4"/>
        <v>51 Green Street, Middletown, CT</v>
      </c>
    </row>
    <row r="282" spans="1:4" x14ac:dyDescent="0.25">
      <c r="A282" t="s">
        <v>1472</v>
      </c>
      <c r="B282" t="s">
        <v>1473</v>
      </c>
      <c r="C282" t="s">
        <v>1044</v>
      </c>
      <c r="D282" t="str">
        <f t="shared" si="4"/>
        <v>5500 W Silver Spring Drive, Milwaukee, WI</v>
      </c>
    </row>
    <row r="283" spans="1:4" x14ac:dyDescent="0.25">
      <c r="A283" t="s">
        <v>1092</v>
      </c>
      <c r="B283" t="s">
        <v>1093</v>
      </c>
      <c r="C283" t="s">
        <v>691</v>
      </c>
      <c r="D283" t="str">
        <f t="shared" si="4"/>
        <v>1651 Jefferson Parkway, Northfield, MN</v>
      </c>
    </row>
    <row r="284" spans="1:4" x14ac:dyDescent="0.25">
      <c r="A284" t="s">
        <v>1693</v>
      </c>
      <c r="B284" t="s">
        <v>1694</v>
      </c>
      <c r="C284" t="s">
        <v>506</v>
      </c>
      <c r="D284" t="str">
        <f t="shared" si="4"/>
        <v>381 East Robie Street, St. Paul, MN</v>
      </c>
    </row>
    <row r="285" spans="1:4" x14ac:dyDescent="0.25">
      <c r="A285" t="s">
        <v>1706</v>
      </c>
      <c r="B285" t="s">
        <v>1707</v>
      </c>
      <c r="C285" t="s">
        <v>1708</v>
      </c>
      <c r="D285" t="str">
        <f t="shared" si="4"/>
        <v>7037 Amy Lane, Montevideo, MN</v>
      </c>
    </row>
    <row r="286" spans="1:4" x14ac:dyDescent="0.25">
      <c r="A286" t="s">
        <v>114</v>
      </c>
      <c r="B286" t="s">
        <v>279</v>
      </c>
      <c r="C286" t="s">
        <v>538</v>
      </c>
      <c r="D286" t="str">
        <f t="shared" si="4"/>
        <v>University of California, Berkeley 460 Stephens Hall, Berkeley, CA</v>
      </c>
    </row>
    <row r="287" spans="1:4" x14ac:dyDescent="0.25">
      <c r="A287" t="s">
        <v>1094</v>
      </c>
      <c r="B287" t="s">
        <v>1095</v>
      </c>
      <c r="C287" t="s">
        <v>502</v>
      </c>
      <c r="D287" t="str">
        <f t="shared" si="4"/>
        <v>3036 43rd Ave S, Minneapolis, MN</v>
      </c>
    </row>
    <row r="288" spans="1:4" x14ac:dyDescent="0.25">
      <c r="A288" t="s">
        <v>744</v>
      </c>
      <c r="B288" t="s">
        <v>745</v>
      </c>
      <c r="C288" t="s">
        <v>746</v>
      </c>
      <c r="D288" t="str">
        <f t="shared" si="4"/>
        <v>PO Box 6147, Kamuela, HI</v>
      </c>
    </row>
    <row r="289" spans="1:4" x14ac:dyDescent="0.25">
      <c r="A289" t="s">
        <v>50</v>
      </c>
      <c r="B289" t="s">
        <v>280</v>
      </c>
      <c r="C289" t="s">
        <v>515</v>
      </c>
      <c r="D289" t="str">
        <f t="shared" si="4"/>
        <v>270 North Kent Street, Saint Paul, MN</v>
      </c>
    </row>
    <row r="290" spans="1:4" x14ac:dyDescent="0.25">
      <c r="A290" t="s">
        <v>1096</v>
      </c>
      <c r="B290" t="s">
        <v>1097</v>
      </c>
      <c r="C290" t="s">
        <v>506</v>
      </c>
      <c r="D290" t="str">
        <f t="shared" si="4"/>
        <v>1558 Minnehaha Avenue West, St. Paul, MN</v>
      </c>
    </row>
    <row r="291" spans="1:4" x14ac:dyDescent="0.25">
      <c r="A291" t="s">
        <v>1098</v>
      </c>
      <c r="B291" t="s">
        <v>1099</v>
      </c>
      <c r="C291" t="s">
        <v>524</v>
      </c>
      <c r="D291" t="str">
        <f t="shared" si="4"/>
        <v>32 E. 1st St. c/o Women's Health Center, Duluth, MN</v>
      </c>
    </row>
    <row r="292" spans="1:4" x14ac:dyDescent="0.25">
      <c r="A292" t="s">
        <v>1563</v>
      </c>
      <c r="B292" t="s">
        <v>1564</v>
      </c>
      <c r="C292" t="s">
        <v>513</v>
      </c>
      <c r="D292" t="str">
        <f t="shared" si="4"/>
        <v>35 E 125th Street, New York, NY</v>
      </c>
    </row>
    <row r="293" spans="1:4" x14ac:dyDescent="0.25">
      <c r="A293" t="s">
        <v>74</v>
      </c>
      <c r="B293" t="s">
        <v>603</v>
      </c>
      <c r="C293" t="s">
        <v>502</v>
      </c>
      <c r="D293" t="str">
        <f t="shared" si="4"/>
        <v>503 Irving Ave N Ste 100, Minneapolis, MN</v>
      </c>
    </row>
    <row r="294" spans="1:4" x14ac:dyDescent="0.25">
      <c r="A294" t="s">
        <v>281</v>
      </c>
      <c r="B294" t="s">
        <v>282</v>
      </c>
      <c r="C294" t="s">
        <v>539</v>
      </c>
      <c r="D294" t="str">
        <f t="shared" si="4"/>
        <v>3978 West Broadway, Robbinsdale, MN</v>
      </c>
    </row>
    <row r="295" spans="1:4" x14ac:dyDescent="0.25">
      <c r="A295" t="s">
        <v>598</v>
      </c>
      <c r="B295" t="s">
        <v>599</v>
      </c>
      <c r="C295" t="s">
        <v>502</v>
      </c>
      <c r="D295" t="str">
        <f t="shared" si="4"/>
        <v>2801 21st Ave S Ste 132B, Minneapolis, MN</v>
      </c>
    </row>
    <row r="296" spans="1:4" x14ac:dyDescent="0.25">
      <c r="A296" t="s">
        <v>283</v>
      </c>
      <c r="B296" t="s">
        <v>284</v>
      </c>
      <c r="C296" t="s">
        <v>502</v>
      </c>
      <c r="D296" t="str">
        <f t="shared" si="4"/>
        <v>3442 25th Ave S., Minneapolis, MN</v>
      </c>
    </row>
    <row r="297" spans="1:4" x14ac:dyDescent="0.25">
      <c r="A297" t="s">
        <v>1100</v>
      </c>
      <c r="B297" t="s">
        <v>1101</v>
      </c>
      <c r="C297" t="s">
        <v>506</v>
      </c>
      <c r="D297" t="str">
        <f t="shared" si="4"/>
        <v>2469 University Ave W Suite 150, St. Paul, MN</v>
      </c>
    </row>
    <row r="298" spans="1:4" x14ac:dyDescent="0.25">
      <c r="A298" t="s">
        <v>1102</v>
      </c>
      <c r="B298" t="s">
        <v>1103</v>
      </c>
      <c r="C298" t="s">
        <v>545</v>
      </c>
      <c r="D298" t="str">
        <f t="shared" si="4"/>
        <v>235 Montgomery Street Suite 643, San Francisco, CA</v>
      </c>
    </row>
    <row r="299" spans="1:4" x14ac:dyDescent="0.25">
      <c r="A299" t="s">
        <v>1104</v>
      </c>
      <c r="B299" t="s">
        <v>1105</v>
      </c>
      <c r="C299" t="s">
        <v>691</v>
      </c>
      <c r="D299" t="str">
        <f t="shared" si="4"/>
        <v>P.O. Box 731, Northfield, MN</v>
      </c>
    </row>
    <row r="300" spans="1:4" x14ac:dyDescent="0.25">
      <c r="A300" t="s">
        <v>1106</v>
      </c>
      <c r="B300" t="s">
        <v>1107</v>
      </c>
      <c r="C300" t="s">
        <v>502</v>
      </c>
      <c r="D300" t="str">
        <f t="shared" si="4"/>
        <v>3123 East Lake Street, Minneapolis, MN</v>
      </c>
    </row>
    <row r="301" spans="1:4" x14ac:dyDescent="0.25">
      <c r="A301" t="s">
        <v>98</v>
      </c>
      <c r="B301" t="s">
        <v>285</v>
      </c>
      <c r="C301" t="s">
        <v>502</v>
      </c>
      <c r="D301" t="str">
        <f t="shared" si="4"/>
        <v>1000 Olson Memorial Highway, Minneapolis, MN</v>
      </c>
    </row>
    <row r="302" spans="1:4" x14ac:dyDescent="0.25">
      <c r="A302" t="s">
        <v>286</v>
      </c>
      <c r="B302" t="s">
        <v>287</v>
      </c>
      <c r="C302" t="s">
        <v>540</v>
      </c>
      <c r="D302" t="str">
        <f t="shared" si="4"/>
        <v>PO Box 863, Dickinson, ND</v>
      </c>
    </row>
    <row r="303" spans="1:4" x14ac:dyDescent="0.25">
      <c r="A303" t="s">
        <v>1565</v>
      </c>
      <c r="B303" t="s">
        <v>1566</v>
      </c>
      <c r="C303" t="s">
        <v>1567</v>
      </c>
      <c r="D303" t="str">
        <f t="shared" si="4"/>
        <v>1959 Highlander Way, New Market, TN</v>
      </c>
    </row>
    <row r="304" spans="1:4" x14ac:dyDescent="0.25">
      <c r="A304" t="s">
        <v>288</v>
      </c>
      <c r="B304" t="s">
        <v>289</v>
      </c>
      <c r="C304" t="s">
        <v>502</v>
      </c>
      <c r="D304" t="str">
        <f t="shared" si="4"/>
        <v>2200 Bryant Ave. S. Apt 104, Minneapolis, MN</v>
      </c>
    </row>
    <row r="305" spans="1:4" x14ac:dyDescent="0.25">
      <c r="A305" t="s">
        <v>1669</v>
      </c>
      <c r="B305" t="s">
        <v>1670</v>
      </c>
      <c r="C305" t="s">
        <v>515</v>
      </c>
      <c r="D305" t="str">
        <f t="shared" si="4"/>
        <v>2413 University Ave W, Suite 12, Saint Paul, MN</v>
      </c>
    </row>
    <row r="306" spans="1:4" x14ac:dyDescent="0.25">
      <c r="A306" t="s">
        <v>51</v>
      </c>
      <c r="B306" t="s">
        <v>290</v>
      </c>
      <c r="C306" t="s">
        <v>541</v>
      </c>
      <c r="D306" t="str">
        <f t="shared" si="4"/>
        <v>1407 West 4th St, Red Wing, MN</v>
      </c>
    </row>
    <row r="307" spans="1:4" x14ac:dyDescent="0.25">
      <c r="A307" t="s">
        <v>52</v>
      </c>
      <c r="B307" t="s">
        <v>865</v>
      </c>
      <c r="C307" t="s">
        <v>506</v>
      </c>
      <c r="D307" t="str">
        <f t="shared" si="4"/>
        <v>941 Lafond Ave Suite 100, St. Paul, MN</v>
      </c>
    </row>
    <row r="308" spans="1:4" x14ac:dyDescent="0.25">
      <c r="A308" t="s">
        <v>1108</v>
      </c>
      <c r="B308" t="s">
        <v>1109</v>
      </c>
      <c r="C308" t="s">
        <v>506</v>
      </c>
      <c r="D308" t="str">
        <f t="shared" si="4"/>
        <v>394 University Ave W, St. Paul, MN</v>
      </c>
    </row>
    <row r="309" spans="1:4" x14ac:dyDescent="0.25">
      <c r="A309" t="s">
        <v>1738</v>
      </c>
      <c r="B309" t="s">
        <v>1739</v>
      </c>
      <c r="C309" t="s">
        <v>1740</v>
      </c>
      <c r="D309" t="str">
        <f t="shared" si="4"/>
        <v>401 9th Street, Green Bay, WI</v>
      </c>
    </row>
    <row r="310" spans="1:4" x14ac:dyDescent="0.25">
      <c r="A310" t="s">
        <v>1110</v>
      </c>
      <c r="B310" t="s">
        <v>1111</v>
      </c>
      <c r="C310" t="s">
        <v>506</v>
      </c>
      <c r="D310" t="str">
        <f t="shared" si="4"/>
        <v>569 Dale St. North, St. Paul, MN</v>
      </c>
    </row>
    <row r="311" spans="1:4" x14ac:dyDescent="0.25">
      <c r="A311" t="s">
        <v>713</v>
      </c>
      <c r="B311" t="s">
        <v>714</v>
      </c>
      <c r="C311" t="s">
        <v>506</v>
      </c>
      <c r="D311" t="str">
        <f t="shared" si="4"/>
        <v>796 E. 7th Street, St. Paul, MN</v>
      </c>
    </row>
    <row r="312" spans="1:4" x14ac:dyDescent="0.25">
      <c r="A312" t="s">
        <v>72</v>
      </c>
      <c r="B312" t="s">
        <v>1112</v>
      </c>
      <c r="C312" t="s">
        <v>506</v>
      </c>
      <c r="D312" t="str">
        <f t="shared" si="4"/>
        <v>PO Box 14127, St. Paul, MN</v>
      </c>
    </row>
    <row r="313" spans="1:4" x14ac:dyDescent="0.25">
      <c r="A313" t="s">
        <v>935</v>
      </c>
      <c r="B313" t="s">
        <v>936</v>
      </c>
      <c r="C313" t="s">
        <v>563</v>
      </c>
      <c r="D313" t="str">
        <f t="shared" si="4"/>
        <v>PO Box 63607 Main Street, Callaway, MN</v>
      </c>
    </row>
    <row r="314" spans="1:4" x14ac:dyDescent="0.25">
      <c r="A314" t="s">
        <v>861</v>
      </c>
      <c r="B314" t="s">
        <v>862</v>
      </c>
      <c r="C314" t="s">
        <v>860</v>
      </c>
      <c r="D314" t="str">
        <f t="shared" si="4"/>
        <v>220 8th Ave N, New Town, ND</v>
      </c>
    </row>
    <row r="315" spans="1:4" x14ac:dyDescent="0.25">
      <c r="A315" t="s">
        <v>1474</v>
      </c>
      <c r="B315" t="s">
        <v>1475</v>
      </c>
      <c r="C315" t="s">
        <v>502</v>
      </c>
      <c r="D315" t="str">
        <f t="shared" si="4"/>
        <v>611 E. Franklin Ave., Minneapolis, MN</v>
      </c>
    </row>
    <row r="316" spans="1:4" x14ac:dyDescent="0.25">
      <c r="A316" t="s">
        <v>878</v>
      </c>
      <c r="B316" t="s">
        <v>879</v>
      </c>
      <c r="C316" t="s">
        <v>880</v>
      </c>
      <c r="D316" t="str">
        <f t="shared" si="4"/>
        <v>PO Box 967 144 Leupp Road , Kykotsmovi, AZ</v>
      </c>
    </row>
    <row r="317" spans="1:4" x14ac:dyDescent="0.25">
      <c r="A317" t="s">
        <v>293</v>
      </c>
      <c r="B317" t="s">
        <v>294</v>
      </c>
      <c r="C317" t="s">
        <v>542</v>
      </c>
      <c r="D317" t="str">
        <f t="shared" si="4"/>
        <v>2965 Spring Lake Road SW, Prior Lake, MN</v>
      </c>
    </row>
    <row r="318" spans="1:4" x14ac:dyDescent="0.25">
      <c r="A318" t="s">
        <v>1476</v>
      </c>
      <c r="B318" t="s">
        <v>1477</v>
      </c>
      <c r="C318" t="s">
        <v>549</v>
      </c>
      <c r="D318" t="str">
        <f t="shared" si="4"/>
        <v>675 61st Street, Oakland, CA</v>
      </c>
    </row>
    <row r="319" spans="1:4" x14ac:dyDescent="0.25">
      <c r="A319" t="s">
        <v>1673</v>
      </c>
      <c r="B319" t="s">
        <v>1674</v>
      </c>
      <c r="C319" t="s">
        <v>502</v>
      </c>
      <c r="D319" t="str">
        <f t="shared" si="4"/>
        <v>P.O. Box 6397, Minneapolis, MN</v>
      </c>
    </row>
    <row r="320" spans="1:4" x14ac:dyDescent="0.25">
      <c r="A320" t="s">
        <v>27</v>
      </c>
      <c r="B320" t="s">
        <v>1113</v>
      </c>
      <c r="C320" t="s">
        <v>505</v>
      </c>
      <c r="D320" t="str">
        <f t="shared" si="4"/>
        <v>810 4th Ave S, Suite 204, Moorhead, MN</v>
      </c>
    </row>
    <row r="321" spans="1:4" x14ac:dyDescent="0.25">
      <c r="A321" s="64" t="s">
        <v>2236</v>
      </c>
      <c r="B321" t="s">
        <v>297</v>
      </c>
      <c r="C321" t="s">
        <v>515</v>
      </c>
      <c r="D321" t="str">
        <f t="shared" si="4"/>
        <v>444 Lexington Parkway South, Unit 1, Saint Paul, MN</v>
      </c>
    </row>
    <row r="322" spans="1:4" x14ac:dyDescent="0.25">
      <c r="A322" t="s">
        <v>647</v>
      </c>
      <c r="B322" t="s">
        <v>648</v>
      </c>
      <c r="C322" t="s">
        <v>502</v>
      </c>
      <c r="D322" t="str">
        <f t="shared" ref="D322:D339" si="5">_xlfn.CONCAT(B322,", ",C322)</f>
        <v>1500 East Lake Street, Minneapolis, MN</v>
      </c>
    </row>
    <row r="323" spans="1:4" x14ac:dyDescent="0.25">
      <c r="A323" t="s">
        <v>848</v>
      </c>
      <c r="B323" t="s">
        <v>849</v>
      </c>
      <c r="C323" t="s">
        <v>850</v>
      </c>
      <c r="D323" t="str">
        <f t="shared" si="5"/>
        <v>PO Box 113, Butte, MT</v>
      </c>
    </row>
    <row r="324" spans="1:4" x14ac:dyDescent="0.25">
      <c r="A324" t="s">
        <v>298</v>
      </c>
      <c r="B324" t="s">
        <v>299</v>
      </c>
      <c r="C324" t="s">
        <v>544</v>
      </c>
      <c r="D324" t="str">
        <f t="shared" si="5"/>
        <v>PO Box 366 , Fort Chipewyan, AB</v>
      </c>
    </row>
    <row r="325" spans="1:4" x14ac:dyDescent="0.25">
      <c r="A325" t="s">
        <v>1114</v>
      </c>
      <c r="B325" t="s">
        <v>1115</v>
      </c>
      <c r="C325" t="s">
        <v>1116</v>
      </c>
      <c r="D325" t="str">
        <f t="shared" si="5"/>
        <v>PO Box 6377, Hilo, HI</v>
      </c>
    </row>
    <row r="326" spans="1:4" x14ac:dyDescent="0.25">
      <c r="A326" t="s">
        <v>884</v>
      </c>
      <c r="B326" t="s">
        <v>885</v>
      </c>
      <c r="C326" t="s">
        <v>516</v>
      </c>
      <c r="D326" t="str">
        <f t="shared" si="5"/>
        <v>PO Box 485, Bemidji, MN</v>
      </c>
    </row>
    <row r="327" spans="1:4" x14ac:dyDescent="0.25">
      <c r="A327" t="s">
        <v>1117</v>
      </c>
      <c r="B327" t="s">
        <v>1118</v>
      </c>
      <c r="C327" t="s">
        <v>502</v>
      </c>
      <c r="D327" t="str">
        <f t="shared" si="5"/>
        <v>1920 3rd Ave S, Minneapolis, MN</v>
      </c>
    </row>
    <row r="328" spans="1:4" x14ac:dyDescent="0.25">
      <c r="A328" t="s">
        <v>794</v>
      </c>
      <c r="B328" t="s">
        <v>795</v>
      </c>
      <c r="C328" t="s">
        <v>502</v>
      </c>
      <c r="D328" t="str">
        <f t="shared" si="5"/>
        <v>1335 E. 23rd St, Minneapolis, MN</v>
      </c>
    </row>
    <row r="329" spans="1:4" x14ac:dyDescent="0.25">
      <c r="A329" t="s">
        <v>28</v>
      </c>
      <c r="B329" t="s">
        <v>300</v>
      </c>
      <c r="C329" t="s">
        <v>515</v>
      </c>
      <c r="D329" t="str">
        <f t="shared" si="5"/>
        <v>24 Nelson Street, Saint Paul, MN</v>
      </c>
    </row>
    <row r="330" spans="1:4" x14ac:dyDescent="0.25">
      <c r="A330" t="s">
        <v>881</v>
      </c>
      <c r="B330" t="s">
        <v>882</v>
      </c>
      <c r="C330" t="s">
        <v>883</v>
      </c>
      <c r="D330" t="str">
        <f t="shared" si="5"/>
        <v>PO Box 106, Essex, NY</v>
      </c>
    </row>
    <row r="331" spans="1:4" x14ac:dyDescent="0.25">
      <c r="A331" t="s">
        <v>61</v>
      </c>
      <c r="B331" t="s">
        <v>301</v>
      </c>
      <c r="C331" t="s">
        <v>502</v>
      </c>
      <c r="D331" t="str">
        <f t="shared" si="5"/>
        <v>4139 Garfield Avenue, Minneapolis, MN</v>
      </c>
    </row>
    <row r="332" spans="1:4" x14ac:dyDescent="0.25">
      <c r="A332" t="s">
        <v>653</v>
      </c>
      <c r="B332" t="s">
        <v>654</v>
      </c>
      <c r="C332" t="s">
        <v>502</v>
      </c>
      <c r="D332" t="str">
        <f t="shared" si="5"/>
        <v>2105 1st Ave S, Minneapolis, MN</v>
      </c>
    </row>
    <row r="333" spans="1:4" x14ac:dyDescent="0.25">
      <c r="A333" t="s">
        <v>1745</v>
      </c>
      <c r="B333" t="s">
        <v>1746</v>
      </c>
      <c r="C333" t="s">
        <v>1599</v>
      </c>
      <c r="D333" t="str">
        <f t="shared" si="5"/>
        <v>620 SW 5th Ave, Suite 910, Portland, OR</v>
      </c>
    </row>
    <row r="334" spans="1:4" x14ac:dyDescent="0.25">
      <c r="A334" t="s">
        <v>607</v>
      </c>
      <c r="B334" t="s">
        <v>608</v>
      </c>
      <c r="C334" t="s">
        <v>502</v>
      </c>
      <c r="D334" t="str">
        <f t="shared" si="5"/>
        <v>3809 Harriet Ave. S, Minneapolis, MN</v>
      </c>
    </row>
    <row r="335" spans="1:4" x14ac:dyDescent="0.25">
      <c r="A335" t="s">
        <v>673</v>
      </c>
      <c r="B335" t="s">
        <v>674</v>
      </c>
      <c r="C335" t="s">
        <v>502</v>
      </c>
      <c r="D335" t="str">
        <f t="shared" si="5"/>
        <v>2822 Lyndale Ave S, Minneapolis, MN</v>
      </c>
    </row>
    <row r="336" spans="1:4" x14ac:dyDescent="0.25">
      <c r="A336" t="s">
        <v>302</v>
      </c>
      <c r="B336" t="s">
        <v>303</v>
      </c>
      <c r="C336" t="s">
        <v>545</v>
      </c>
      <c r="D336" t="str">
        <f t="shared" si="5"/>
        <v>1009 General Kennedy Ave #2, San Francisco, CA</v>
      </c>
    </row>
    <row r="337" spans="1:4" x14ac:dyDescent="0.25">
      <c r="A337" t="s">
        <v>304</v>
      </c>
      <c r="B337" t="s">
        <v>305</v>
      </c>
      <c r="C337" t="s">
        <v>546</v>
      </c>
      <c r="D337" t="str">
        <f t="shared" si="5"/>
        <v>PO Box 25, Rosebud, SD</v>
      </c>
    </row>
    <row r="338" spans="1:4" x14ac:dyDescent="0.25">
      <c r="A338" t="s">
        <v>1729</v>
      </c>
      <c r="B338" t="s">
        <v>874</v>
      </c>
      <c r="C338" t="s">
        <v>510</v>
      </c>
      <c r="D338" t="str">
        <f t="shared" si="5"/>
        <v>PO Box 1500, Hayward, WI</v>
      </c>
    </row>
    <row r="339" spans="1:4" x14ac:dyDescent="0.25">
      <c r="A339" t="s">
        <v>306</v>
      </c>
      <c r="B339" t="s">
        <v>307</v>
      </c>
      <c r="C339" t="s">
        <v>547</v>
      </c>
      <c r="D339" t="str">
        <f t="shared" si="5"/>
        <v>2500 E 80th St, Inver Grove Heights, MN</v>
      </c>
    </row>
    <row r="340" spans="1:4" x14ac:dyDescent="0.25">
      <c r="A340" t="s">
        <v>53</v>
      </c>
      <c r="D340" t="s">
        <v>1751</v>
      </c>
    </row>
    <row r="341" spans="1:4" x14ac:dyDescent="0.25">
      <c r="A341" t="s">
        <v>308</v>
      </c>
      <c r="B341" t="s">
        <v>309</v>
      </c>
      <c r="C341" t="s">
        <v>506</v>
      </c>
      <c r="D341" t="str">
        <f t="shared" ref="D341:D372" si="6">_xlfn.CONCAT(B341,", ",C341)</f>
        <v>1637 Wilson Ave., St. Paul, MN</v>
      </c>
    </row>
    <row r="342" spans="1:4" x14ac:dyDescent="0.25">
      <c r="A342" t="s">
        <v>637</v>
      </c>
      <c r="B342" t="s">
        <v>638</v>
      </c>
      <c r="C342" t="s">
        <v>506</v>
      </c>
      <c r="D342" t="str">
        <f t="shared" si="6"/>
        <v>2356 University Ave, Suite 405, St. Paul, MN</v>
      </c>
    </row>
    <row r="343" spans="1:4" x14ac:dyDescent="0.25">
      <c r="A343" t="s">
        <v>1568</v>
      </c>
      <c r="B343" t="s">
        <v>1569</v>
      </c>
      <c r="C343" t="s">
        <v>1570</v>
      </c>
      <c r="D343" t="str">
        <f t="shared" si="6"/>
        <v>100 Dennis Street, Montegut, LA</v>
      </c>
    </row>
    <row r="344" spans="1:4" x14ac:dyDescent="0.25">
      <c r="A344" t="s">
        <v>834</v>
      </c>
      <c r="B344" t="s">
        <v>835</v>
      </c>
      <c r="C344" t="s">
        <v>502</v>
      </c>
      <c r="D344" t="str">
        <f t="shared" si="6"/>
        <v>3416 Niollet Avenue South, Minneapolis, MN</v>
      </c>
    </row>
    <row r="345" spans="1:4" x14ac:dyDescent="0.25">
      <c r="A345" t="s">
        <v>1119</v>
      </c>
      <c r="B345" t="s">
        <v>252</v>
      </c>
      <c r="C345" t="s">
        <v>506</v>
      </c>
      <c r="D345" t="str">
        <f t="shared" si="6"/>
        <v>2608 Blaisdell Ave S, St. Paul, MN</v>
      </c>
    </row>
    <row r="346" spans="1:4" x14ac:dyDescent="0.25">
      <c r="A346" t="s">
        <v>489</v>
      </c>
      <c r="B346" t="s">
        <v>490</v>
      </c>
      <c r="C346" t="s">
        <v>502</v>
      </c>
      <c r="D346" t="str">
        <f t="shared" si="6"/>
        <v>2801 21st Ave S #250, Minneapolis, MN</v>
      </c>
    </row>
    <row r="347" spans="1:4" x14ac:dyDescent="0.25">
      <c r="A347" t="s">
        <v>1120</v>
      </c>
      <c r="B347" t="s">
        <v>1121</v>
      </c>
      <c r="C347" t="s">
        <v>502</v>
      </c>
      <c r="D347" t="str">
        <f t="shared" si="6"/>
        <v>c/o Steve Ozone, Chapter President, 2319 Cleveland St, Minneapolis, MN</v>
      </c>
    </row>
    <row r="348" spans="1:4" x14ac:dyDescent="0.25">
      <c r="A348" t="s">
        <v>295</v>
      </c>
      <c r="B348" t="s">
        <v>296</v>
      </c>
      <c r="C348" t="s">
        <v>543</v>
      </c>
      <c r="D348" t="str">
        <f t="shared" si="6"/>
        <v>2511 East Frankline Ave, Suite 100, Minneapolis MN, MN</v>
      </c>
    </row>
    <row r="349" spans="1:4" x14ac:dyDescent="0.25">
      <c r="A349" t="s">
        <v>1122</v>
      </c>
      <c r="B349" t="s">
        <v>1123</v>
      </c>
      <c r="C349" t="s">
        <v>506</v>
      </c>
      <c r="D349" t="str">
        <f t="shared" si="6"/>
        <v>325 Cedar St. Suite 700, St. Paul, MN</v>
      </c>
    </row>
    <row r="350" spans="1:4" x14ac:dyDescent="0.25">
      <c r="A350" t="s">
        <v>1124</v>
      </c>
      <c r="B350" t="s">
        <v>1125</v>
      </c>
      <c r="C350" t="s">
        <v>712</v>
      </c>
      <c r="D350" t="str">
        <f t="shared" si="6"/>
        <v>P.O. Box 442, Faribault, MN</v>
      </c>
    </row>
    <row r="351" spans="1:4" x14ac:dyDescent="0.25">
      <c r="A351" t="s">
        <v>164</v>
      </c>
      <c r="B351" t="s">
        <v>165</v>
      </c>
      <c r="C351" t="s">
        <v>502</v>
      </c>
      <c r="D351" t="str">
        <f t="shared" si="6"/>
        <v>416 E Hennepin Ave Suite 116, Minneapolis, MN</v>
      </c>
    </row>
    <row r="352" spans="1:4" x14ac:dyDescent="0.25">
      <c r="A352" t="s">
        <v>328</v>
      </c>
      <c r="B352" t="s">
        <v>329</v>
      </c>
      <c r="C352" t="s">
        <v>554</v>
      </c>
      <c r="D352" t="str">
        <f t="shared" si="6"/>
        <v>P.O. Box 14127, St.  Paul, MN</v>
      </c>
    </row>
    <row r="353" spans="1:4" x14ac:dyDescent="0.25">
      <c r="A353" t="s">
        <v>54</v>
      </c>
      <c r="B353" t="s">
        <v>666</v>
      </c>
      <c r="C353" t="s">
        <v>515</v>
      </c>
      <c r="D353" t="str">
        <f t="shared" si="6"/>
        <v>2375 University Ave W Ste 150, Saint Paul, MN</v>
      </c>
    </row>
    <row r="354" spans="1:4" x14ac:dyDescent="0.25">
      <c r="A354" t="s">
        <v>312</v>
      </c>
      <c r="B354" t="s">
        <v>313</v>
      </c>
      <c r="C354" t="s">
        <v>549</v>
      </c>
      <c r="D354" t="str">
        <f t="shared" si="6"/>
        <v>1611 Telegraph Avenue, Suite 1020, Oakland, CA</v>
      </c>
    </row>
    <row r="355" spans="1:4" x14ac:dyDescent="0.25">
      <c r="A355" t="s">
        <v>207</v>
      </c>
      <c r="B355" t="s">
        <v>208</v>
      </c>
      <c r="C355" t="s">
        <v>502</v>
      </c>
      <c r="D355" t="str">
        <f t="shared" si="6"/>
        <v>3715 Chicago Ave, Minneapolis, MN</v>
      </c>
    </row>
    <row r="356" spans="1:4" x14ac:dyDescent="0.25">
      <c r="A356" t="s">
        <v>798</v>
      </c>
      <c r="B356" t="s">
        <v>799</v>
      </c>
      <c r="C356" t="s">
        <v>506</v>
      </c>
      <c r="D356" t="str">
        <f t="shared" si="6"/>
        <v>550 Rice Street, Suite 216, St. Paul, MN</v>
      </c>
    </row>
    <row r="357" spans="1:4" x14ac:dyDescent="0.25">
      <c r="A357" t="s">
        <v>472</v>
      </c>
      <c r="B357" t="s">
        <v>246</v>
      </c>
      <c r="C357" t="s">
        <v>506</v>
      </c>
      <c r="D357" t="str">
        <f t="shared" si="6"/>
        <v>965 Payne, St. Paul, MN</v>
      </c>
    </row>
    <row r="358" spans="1:4" x14ac:dyDescent="0.25">
      <c r="A358" t="s">
        <v>1126</v>
      </c>
      <c r="B358" t="s">
        <v>1127</v>
      </c>
      <c r="C358" t="s">
        <v>502</v>
      </c>
      <c r="D358" t="str">
        <f t="shared" si="6"/>
        <v>122 W Franklin Ave Ste 315, Minneapolis, MN</v>
      </c>
    </row>
    <row r="359" spans="1:4" x14ac:dyDescent="0.25">
      <c r="A359" t="s">
        <v>29</v>
      </c>
      <c r="B359" t="s">
        <v>314</v>
      </c>
      <c r="C359" t="s">
        <v>502</v>
      </c>
      <c r="D359" t="str">
        <f t="shared" si="6"/>
        <v>2800 Fremont avenue North, suite 108, Minneapolis, MN</v>
      </c>
    </row>
    <row r="360" spans="1:4" x14ac:dyDescent="0.25">
      <c r="A360" t="s">
        <v>389</v>
      </c>
      <c r="B360" t="s">
        <v>390</v>
      </c>
      <c r="C360" t="s">
        <v>502</v>
      </c>
      <c r="D360" t="str">
        <f t="shared" si="6"/>
        <v>1308 Franklin Ave Suite 203, Minneapolis, MN</v>
      </c>
    </row>
    <row r="361" spans="1:4" x14ac:dyDescent="0.25">
      <c r="A361" t="s">
        <v>318</v>
      </c>
      <c r="B361" t="s">
        <v>319</v>
      </c>
      <c r="C361" t="s">
        <v>502</v>
      </c>
      <c r="D361" t="str">
        <f t="shared" si="6"/>
        <v>3548 Bryant Ave S, Minneapolis, MN</v>
      </c>
    </row>
    <row r="362" spans="1:4" x14ac:dyDescent="0.25">
      <c r="A362" t="s">
        <v>1128</v>
      </c>
      <c r="B362" t="s">
        <v>1129</v>
      </c>
      <c r="C362" t="s">
        <v>506</v>
      </c>
      <c r="D362" t="str">
        <f t="shared" si="6"/>
        <v>c/o ASANDC, 774 University Ave., St. Paul, MN</v>
      </c>
    </row>
    <row r="363" spans="1:4" x14ac:dyDescent="0.25">
      <c r="A363" t="s">
        <v>1130</v>
      </c>
      <c r="B363" t="s">
        <v>1131</v>
      </c>
      <c r="C363" t="s">
        <v>513</v>
      </c>
      <c r="D363" t="str">
        <f t="shared" si="6"/>
        <v>1155 Avenue of the Americas, 3rd Floor., New York, NY</v>
      </c>
    </row>
    <row r="364" spans="1:4" x14ac:dyDescent="0.25">
      <c r="A364" t="s">
        <v>1132</v>
      </c>
      <c r="B364" t="s">
        <v>1133</v>
      </c>
      <c r="C364" t="s">
        <v>1134</v>
      </c>
      <c r="D364" t="str">
        <f t="shared" si="6"/>
        <v>1600 Oretha Castle Haley Blvd., New Orleans, LA</v>
      </c>
    </row>
    <row r="365" spans="1:4" x14ac:dyDescent="0.25">
      <c r="A365" t="s">
        <v>1660</v>
      </c>
      <c r="B365" t="s">
        <v>1661</v>
      </c>
      <c r="C365" t="s">
        <v>502</v>
      </c>
      <c r="D365" t="str">
        <f t="shared" si="6"/>
        <v>1420 Washington Avenue South, #3, Minneapolis, MN</v>
      </c>
    </row>
    <row r="366" spans="1:4" x14ac:dyDescent="0.25">
      <c r="A366" t="s">
        <v>1571</v>
      </c>
      <c r="B366" t="s">
        <v>1572</v>
      </c>
      <c r="C366" t="s">
        <v>1573</v>
      </c>
      <c r="D366" t="str">
        <f t="shared" si="6"/>
        <v>81-1041 Konawaena School Road, Kealakekua, HI</v>
      </c>
    </row>
    <row r="367" spans="1:4" x14ac:dyDescent="0.25">
      <c r="A367" t="s">
        <v>55</v>
      </c>
      <c r="B367" t="s">
        <v>315</v>
      </c>
      <c r="C367" t="s">
        <v>550</v>
      </c>
      <c r="D367" t="str">
        <f t="shared" si="6"/>
        <v>3000 5th Street NW, New Brighton, MN</v>
      </c>
    </row>
    <row r="368" spans="1:4" x14ac:dyDescent="0.25">
      <c r="A368" t="s">
        <v>715</v>
      </c>
      <c r="B368" t="s">
        <v>716</v>
      </c>
      <c r="C368" t="s">
        <v>717</v>
      </c>
      <c r="D368" t="str">
        <f t="shared" si="6"/>
        <v>9101 1st St. South #4091, Hopkins, MN</v>
      </c>
    </row>
    <row r="369" spans="1:4" x14ac:dyDescent="0.25">
      <c r="A369" t="s">
        <v>65</v>
      </c>
      <c r="B369" t="s">
        <v>814</v>
      </c>
      <c r="C369" t="s">
        <v>815</v>
      </c>
      <c r="D369" t="str">
        <f t="shared" si="6"/>
        <v>2353 Rice Street, Suite 240 , Roseville, MN</v>
      </c>
    </row>
    <row r="370" spans="1:4" x14ac:dyDescent="0.25">
      <c r="A370" t="s">
        <v>316</v>
      </c>
      <c r="B370" t="s">
        <v>317</v>
      </c>
      <c r="C370" t="s">
        <v>551</v>
      </c>
      <c r="D370" t="str">
        <f t="shared" si="6"/>
        <v>Box 1707, Athabasca, AB</v>
      </c>
    </row>
    <row r="371" spans="1:4" x14ac:dyDescent="0.25">
      <c r="A371" t="s">
        <v>1574</v>
      </c>
      <c r="B371" t="s">
        <v>1575</v>
      </c>
      <c r="C371" t="s">
        <v>1576</v>
      </c>
      <c r="D371" t="str">
        <f t="shared" si="6"/>
        <v>330 7th Street, Manistee, MI</v>
      </c>
    </row>
    <row r="372" spans="1:4" x14ac:dyDescent="0.25">
      <c r="A372" t="s">
        <v>200</v>
      </c>
      <c r="B372" t="s">
        <v>201</v>
      </c>
      <c r="C372" t="s">
        <v>502</v>
      </c>
      <c r="D372" t="str">
        <f t="shared" si="6"/>
        <v>1800 Glenwood Avenue, Minneapolis, MN</v>
      </c>
    </row>
    <row r="373" spans="1:4" x14ac:dyDescent="0.25">
      <c r="A373" t="s">
        <v>247</v>
      </c>
      <c r="B373" t="s">
        <v>248</v>
      </c>
      <c r="C373" t="s">
        <v>515</v>
      </c>
      <c r="D373" t="str">
        <f t="shared" ref="D373:D404" si="7">_xlfn.CONCAT(B373,", ",C373)</f>
        <v>145 University Avenue W Suite 450, Saint Paul, MN</v>
      </c>
    </row>
    <row r="374" spans="1:4" x14ac:dyDescent="0.25">
      <c r="A374" t="s">
        <v>645</v>
      </c>
      <c r="B374" t="s">
        <v>646</v>
      </c>
      <c r="C374" t="s">
        <v>502</v>
      </c>
      <c r="D374" t="str">
        <f t="shared" si="7"/>
        <v>1808 Riverside Ave Ste 300, Minneapolis, MN</v>
      </c>
    </row>
    <row r="375" spans="1:4" x14ac:dyDescent="0.25">
      <c r="A375" t="s">
        <v>1712</v>
      </c>
      <c r="B375" t="s">
        <v>1713</v>
      </c>
      <c r="C375" t="s">
        <v>1714</v>
      </c>
      <c r="D375" t="str">
        <f t="shared" si="7"/>
        <v>9490 Flanders Street, Blaine, MN</v>
      </c>
    </row>
    <row r="376" spans="1:4" x14ac:dyDescent="0.25">
      <c r="A376" t="s">
        <v>1135</v>
      </c>
      <c r="B376" t="s">
        <v>1136</v>
      </c>
      <c r="C376" t="s">
        <v>506</v>
      </c>
      <c r="D376" t="str">
        <f t="shared" si="7"/>
        <v>2233 University Ave. W, Ste. 434, St. Paul, MN</v>
      </c>
    </row>
    <row r="377" spans="1:4" x14ac:dyDescent="0.25">
      <c r="A377" t="s">
        <v>103</v>
      </c>
      <c r="B377" t="s">
        <v>1137</v>
      </c>
      <c r="C377" t="s">
        <v>502</v>
      </c>
      <c r="D377" t="str">
        <f t="shared" si="7"/>
        <v>3500 38th Ave S, Minneapolis, MN</v>
      </c>
    </row>
    <row r="378" spans="1:4" x14ac:dyDescent="0.25">
      <c r="A378" t="s">
        <v>1138</v>
      </c>
      <c r="B378" t="s">
        <v>1139</v>
      </c>
      <c r="C378" t="s">
        <v>502</v>
      </c>
      <c r="D378" t="str">
        <f t="shared" si="7"/>
        <v>919 East Lake Street, Minneapolis, MN</v>
      </c>
    </row>
    <row r="379" spans="1:4" x14ac:dyDescent="0.25">
      <c r="A379" t="s">
        <v>1478</v>
      </c>
      <c r="B379" t="s">
        <v>1479</v>
      </c>
      <c r="C379" t="s">
        <v>737</v>
      </c>
      <c r="D379" t="str">
        <f t="shared" si="7"/>
        <v>PO Box 3010, Pine Ridge, SD</v>
      </c>
    </row>
    <row r="380" spans="1:4" x14ac:dyDescent="0.25">
      <c r="A380" t="s">
        <v>1480</v>
      </c>
      <c r="B380" t="s">
        <v>1481</v>
      </c>
      <c r="C380" t="s">
        <v>737</v>
      </c>
      <c r="D380" t="str">
        <f t="shared" si="7"/>
        <v>PO Box 1609, Pine Ridge, SD</v>
      </c>
    </row>
    <row r="381" spans="1:4" x14ac:dyDescent="0.25">
      <c r="A381" t="s">
        <v>1482</v>
      </c>
      <c r="B381" t="s">
        <v>1483</v>
      </c>
      <c r="C381" t="s">
        <v>1484</v>
      </c>
      <c r="D381" t="str">
        <f t="shared" si="7"/>
        <v>PO Box 527, Three Mile Creek Road, Kyle, SD</v>
      </c>
    </row>
    <row r="382" spans="1:4" x14ac:dyDescent="0.25">
      <c r="A382" t="s">
        <v>1577</v>
      </c>
      <c r="B382" t="s">
        <v>1578</v>
      </c>
      <c r="C382" t="s">
        <v>528</v>
      </c>
      <c r="D382" t="str">
        <f t="shared" si="7"/>
        <v>PO Box 18955, Washington, DC</v>
      </c>
    </row>
    <row r="383" spans="1:4" x14ac:dyDescent="0.25">
      <c r="A383" t="s">
        <v>324</v>
      </c>
      <c r="B383" t="s">
        <v>325</v>
      </c>
      <c r="C383" t="s">
        <v>553</v>
      </c>
      <c r="D383" t="str">
        <f t="shared" si="7"/>
        <v>180 E. Mian, Lewiston, MN</v>
      </c>
    </row>
    <row r="384" spans="1:4" x14ac:dyDescent="0.25">
      <c r="A384" t="s">
        <v>326</v>
      </c>
      <c r="B384" t="s">
        <v>327</v>
      </c>
      <c r="C384" t="s">
        <v>502</v>
      </c>
      <c r="D384" t="str">
        <f t="shared" si="7"/>
        <v>1228 2nd St NE, Minneapolis, MN</v>
      </c>
    </row>
    <row r="385" spans="1:4" x14ac:dyDescent="0.25">
      <c r="A385" t="s">
        <v>66</v>
      </c>
      <c r="B385" t="s">
        <v>1140</v>
      </c>
      <c r="C385" t="s">
        <v>502</v>
      </c>
      <c r="D385" t="str">
        <f t="shared" si="7"/>
        <v>503 Irving Ave N Ste 100A, Minneapolis, MN</v>
      </c>
    </row>
    <row r="386" spans="1:4" x14ac:dyDescent="0.25">
      <c r="A386" t="s">
        <v>1579</v>
      </c>
      <c r="B386" t="s">
        <v>1580</v>
      </c>
      <c r="C386" t="s">
        <v>506</v>
      </c>
      <c r="D386" t="str">
        <f t="shared" si="7"/>
        <v>1550 Summit Ave, St. Paul, MN</v>
      </c>
    </row>
    <row r="387" spans="1:4" x14ac:dyDescent="0.25">
      <c r="A387" t="s">
        <v>322</v>
      </c>
      <c r="B387" t="s">
        <v>323</v>
      </c>
      <c r="C387" t="s">
        <v>506</v>
      </c>
      <c r="D387" t="str">
        <f t="shared" si="7"/>
        <v>444 Lexington Pkwy S Unit 1, St. Paul, MN</v>
      </c>
    </row>
    <row r="388" spans="1:4" x14ac:dyDescent="0.25">
      <c r="A388" t="s">
        <v>1634</v>
      </c>
      <c r="B388" t="s">
        <v>1635</v>
      </c>
      <c r="C388" t="s">
        <v>528</v>
      </c>
      <c r="D388" t="str">
        <f t="shared" si="7"/>
        <v>11 Dupont Circle Suite 240, Washington, DC</v>
      </c>
    </row>
    <row r="389" spans="1:4" x14ac:dyDescent="0.25">
      <c r="A389" t="s">
        <v>1141</v>
      </c>
      <c r="B389" t="s">
        <v>1142</v>
      </c>
      <c r="C389" t="s">
        <v>506</v>
      </c>
      <c r="D389" t="str">
        <f t="shared" si="7"/>
        <v>450 N. Syndicate Street, St. Paul, MN</v>
      </c>
    </row>
    <row r="390" spans="1:4" x14ac:dyDescent="0.25">
      <c r="A390" t="s">
        <v>1143</v>
      </c>
      <c r="B390" t="s">
        <v>1144</v>
      </c>
      <c r="C390" t="s">
        <v>506</v>
      </c>
      <c r="D390" t="str">
        <f t="shared" si="7"/>
        <v>550 Rice Street, Suite 201, St. Paul, MN</v>
      </c>
    </row>
    <row r="391" spans="1:4" x14ac:dyDescent="0.25">
      <c r="A391" t="s">
        <v>1581</v>
      </c>
      <c r="B391" t="s">
        <v>1582</v>
      </c>
      <c r="C391" t="s">
        <v>1157</v>
      </c>
      <c r="D391" t="str">
        <f t="shared" si="7"/>
        <v>310 Atlantic Ave, Apt 2, Brooklyn, NY</v>
      </c>
    </row>
    <row r="392" spans="1:4" x14ac:dyDescent="0.25">
      <c r="A392" t="s">
        <v>330</v>
      </c>
      <c r="B392" t="s">
        <v>331</v>
      </c>
      <c r="C392" t="s">
        <v>555</v>
      </c>
      <c r="D392" t="str">
        <f t="shared" si="7"/>
        <v>3070 Drexmore Drive, Cuyahoga Falls, OH</v>
      </c>
    </row>
    <row r="393" spans="1:4" x14ac:dyDescent="0.25">
      <c r="A393" t="s">
        <v>1636</v>
      </c>
      <c r="B393" t="s">
        <v>1637</v>
      </c>
      <c r="C393" t="s">
        <v>1638</v>
      </c>
      <c r="D393" t="str">
        <f t="shared" si="7"/>
        <v>6532 Adelphi Rd. Suite 101, Hyattsville, ND</v>
      </c>
    </row>
    <row r="394" spans="1:4" x14ac:dyDescent="0.25">
      <c r="A394" t="s">
        <v>1145</v>
      </c>
      <c r="B394" t="s">
        <v>1146</v>
      </c>
      <c r="C394" t="s">
        <v>502</v>
      </c>
      <c r="D394" t="str">
        <f t="shared" si="7"/>
        <v>2495 18th Ave S, Minneapolis, MN</v>
      </c>
    </row>
    <row r="395" spans="1:4" x14ac:dyDescent="0.25">
      <c r="A395" t="s">
        <v>1443</v>
      </c>
      <c r="B395" t="s">
        <v>1146</v>
      </c>
      <c r="C395" t="s">
        <v>502</v>
      </c>
      <c r="D395" t="str">
        <f t="shared" si="7"/>
        <v>2495 18th Ave S, Minneapolis, MN</v>
      </c>
    </row>
    <row r="396" spans="1:4" x14ac:dyDescent="0.25">
      <c r="A396" t="s">
        <v>1147</v>
      </c>
      <c r="B396" t="s">
        <v>1148</v>
      </c>
      <c r="C396" t="s">
        <v>561</v>
      </c>
      <c r="D396" t="str">
        <f t="shared" si="7"/>
        <v>2856 South Millard Ave, Chicago, IL</v>
      </c>
    </row>
    <row r="397" spans="1:4" x14ac:dyDescent="0.25">
      <c r="A397" t="s">
        <v>1749</v>
      </c>
      <c r="B397" t="s">
        <v>1750</v>
      </c>
      <c r="C397" t="s">
        <v>502</v>
      </c>
      <c r="D397" t="str">
        <f t="shared" si="7"/>
        <v>156 14th Ave ne, Minneapolis, MN</v>
      </c>
    </row>
    <row r="398" spans="1:4" x14ac:dyDescent="0.25">
      <c r="A398" t="s">
        <v>1485</v>
      </c>
      <c r="B398" t="s">
        <v>1486</v>
      </c>
      <c r="C398" t="s">
        <v>502</v>
      </c>
      <c r="D398" t="str">
        <f t="shared" si="7"/>
        <v>2105 First Ave S, Minneapolis, MN</v>
      </c>
    </row>
    <row r="399" spans="1:4" x14ac:dyDescent="0.25">
      <c r="A399" t="s">
        <v>332</v>
      </c>
      <c r="B399" t="s">
        <v>333</v>
      </c>
      <c r="C399" t="s">
        <v>556</v>
      </c>
      <c r="D399" t="str">
        <f t="shared" si="7"/>
        <v>106 Sandalwood Drive, Gray, LA</v>
      </c>
    </row>
    <row r="400" spans="1:4" x14ac:dyDescent="0.25">
      <c r="A400" t="s">
        <v>334</v>
      </c>
      <c r="B400" t="s">
        <v>335</v>
      </c>
      <c r="C400" t="s">
        <v>557</v>
      </c>
      <c r="D400" t="str">
        <f t="shared" si="7"/>
        <v>PO Box 1351, Little Buffalo, AB</v>
      </c>
    </row>
    <row r="401" spans="1:4" x14ac:dyDescent="0.25">
      <c r="A401" t="s">
        <v>406</v>
      </c>
      <c r="B401" t="s">
        <v>290</v>
      </c>
      <c r="C401" t="s">
        <v>541</v>
      </c>
      <c r="D401" t="str">
        <f t="shared" si="7"/>
        <v>1407 West 4th St, Red Wing, MN</v>
      </c>
    </row>
    <row r="402" spans="1:4" x14ac:dyDescent="0.25">
      <c r="A402" t="s">
        <v>190</v>
      </c>
      <c r="B402" t="s">
        <v>191</v>
      </c>
      <c r="C402" t="s">
        <v>502</v>
      </c>
      <c r="D402" t="str">
        <f t="shared" si="7"/>
        <v>3715 Chicago Avenue South, Minneapolis, MN</v>
      </c>
    </row>
    <row r="403" spans="1:4" x14ac:dyDescent="0.25">
      <c r="A403" t="s">
        <v>875</v>
      </c>
      <c r="B403" t="s">
        <v>876</v>
      </c>
      <c r="C403" t="s">
        <v>877</v>
      </c>
      <c r="D403" t="str">
        <f t="shared" si="7"/>
        <v>PO Box 3074, Indio, CA</v>
      </c>
    </row>
    <row r="404" spans="1:4" x14ac:dyDescent="0.25">
      <c r="A404" t="s">
        <v>1699</v>
      </c>
      <c r="B404" t="s">
        <v>1700</v>
      </c>
      <c r="C404" t="s">
        <v>515</v>
      </c>
      <c r="D404" t="str">
        <f t="shared" si="7"/>
        <v>2485 Como Ave, Saint Paul, MN</v>
      </c>
    </row>
    <row r="405" spans="1:4" x14ac:dyDescent="0.25">
      <c r="A405" t="s">
        <v>718</v>
      </c>
      <c r="B405" t="s">
        <v>719</v>
      </c>
      <c r="C405" t="s">
        <v>502</v>
      </c>
      <c r="D405" t="str">
        <f t="shared" ref="D405:D433" si="8">_xlfn.CONCAT(B405,", ",C405)</f>
        <v>2400 Park Avenue, Minneapolis, MN</v>
      </c>
    </row>
    <row r="406" spans="1:4" x14ac:dyDescent="0.25">
      <c r="A406" t="s">
        <v>1149</v>
      </c>
      <c r="B406" t="s">
        <v>1150</v>
      </c>
      <c r="C406" t="s">
        <v>506</v>
      </c>
      <c r="D406" t="str">
        <f t="shared" si="8"/>
        <v>1669 Arcade Street, Suite 2, St. Paul, MN</v>
      </c>
    </row>
    <row r="407" spans="1:4" x14ac:dyDescent="0.25">
      <c r="A407" t="s">
        <v>1151</v>
      </c>
      <c r="B407" t="s">
        <v>1152</v>
      </c>
      <c r="C407" t="s">
        <v>502</v>
      </c>
      <c r="D407" t="str">
        <f t="shared" si="8"/>
        <v>2100 Emerson Ave. N., Minneapolis, MN</v>
      </c>
    </row>
    <row r="408" spans="1:4" x14ac:dyDescent="0.25">
      <c r="A408" t="s">
        <v>1487</v>
      </c>
      <c r="B408" t="s">
        <v>1488</v>
      </c>
      <c r="C408" t="s">
        <v>502</v>
      </c>
      <c r="D408" t="str">
        <f t="shared" si="8"/>
        <v>3537 Nicollet Ave. S., Minneapolis, MN</v>
      </c>
    </row>
    <row r="409" spans="1:4" x14ac:dyDescent="0.25">
      <c r="A409" t="s">
        <v>1153</v>
      </c>
      <c r="B409" t="s">
        <v>1154</v>
      </c>
      <c r="C409" t="s">
        <v>502</v>
      </c>
      <c r="D409" t="str">
        <f t="shared" si="8"/>
        <v>PO Box 8980, Minneapolis, MN</v>
      </c>
    </row>
    <row r="410" spans="1:4" x14ac:dyDescent="0.25">
      <c r="A410" t="s">
        <v>827</v>
      </c>
      <c r="B410" t="s">
        <v>828</v>
      </c>
      <c r="C410" t="s">
        <v>691</v>
      </c>
      <c r="D410" t="str">
        <f t="shared" si="8"/>
        <v>105 4th Street East, Suite 213, Northfield, MN</v>
      </c>
    </row>
    <row r="411" spans="1:4" x14ac:dyDescent="0.25">
      <c r="A411" t="s">
        <v>1155</v>
      </c>
      <c r="B411" t="s">
        <v>1156</v>
      </c>
      <c r="C411" t="s">
        <v>1157</v>
      </c>
      <c r="D411" t="str">
        <f t="shared" si="8"/>
        <v>301 Grove Street, Brooklyn, NY</v>
      </c>
    </row>
    <row r="412" spans="1:4" x14ac:dyDescent="0.25">
      <c r="A412" t="s">
        <v>338</v>
      </c>
      <c r="B412" t="s">
        <v>339</v>
      </c>
      <c r="C412" t="s">
        <v>558</v>
      </c>
      <c r="D412" t="str">
        <f t="shared" si="8"/>
        <v>165 Jordan Drive, Apt 19, Granite Falls, MN</v>
      </c>
    </row>
    <row r="413" spans="1:4" x14ac:dyDescent="0.25">
      <c r="A413" t="s">
        <v>30</v>
      </c>
      <c r="B413" t="s">
        <v>340</v>
      </c>
      <c r="C413" t="s">
        <v>502</v>
      </c>
      <c r="D413" t="str">
        <f t="shared" si="8"/>
        <v>PO Box 6223, Minneapolis, MN</v>
      </c>
    </row>
    <row r="414" spans="1:4" x14ac:dyDescent="0.25">
      <c r="A414" t="s">
        <v>341</v>
      </c>
      <c r="B414" t="s">
        <v>342</v>
      </c>
      <c r="C414" t="s">
        <v>516</v>
      </c>
      <c r="D414" t="str">
        <f t="shared" si="8"/>
        <v>1008 2nd St SE, Bemidji, MN</v>
      </c>
    </row>
    <row r="415" spans="1:4" x14ac:dyDescent="0.25">
      <c r="A415" t="s">
        <v>500</v>
      </c>
      <c r="B415" t="s">
        <v>191</v>
      </c>
      <c r="C415" t="s">
        <v>502</v>
      </c>
      <c r="D415" t="str">
        <f t="shared" si="8"/>
        <v>3715 Chicago Avenue South, Minneapolis, MN</v>
      </c>
    </row>
    <row r="416" spans="1:4" x14ac:dyDescent="0.25">
      <c r="A416" t="s">
        <v>439</v>
      </c>
      <c r="B416" t="s">
        <v>149</v>
      </c>
      <c r="C416" t="s">
        <v>149</v>
      </c>
      <c r="D416" t="str">
        <f t="shared" si="8"/>
        <v xml:space="preserve">, </v>
      </c>
    </row>
    <row r="417" spans="1:4" x14ac:dyDescent="0.25">
      <c r="A417" t="s">
        <v>1158</v>
      </c>
      <c r="B417" t="s">
        <v>1159</v>
      </c>
      <c r="C417" t="s">
        <v>502</v>
      </c>
      <c r="D417" t="str">
        <f t="shared" si="8"/>
        <v>2136 Penn Ave. S, Minneapolis, MN</v>
      </c>
    </row>
    <row r="418" spans="1:4" x14ac:dyDescent="0.25">
      <c r="A418" t="s">
        <v>320</v>
      </c>
      <c r="B418" t="s">
        <v>321</v>
      </c>
      <c r="C418" t="s">
        <v>552</v>
      </c>
      <c r="D418" t="str">
        <f t="shared" si="8"/>
        <v>941 Lafond Ave W Suite 100, St Paul, MN</v>
      </c>
    </row>
    <row r="419" spans="1:4" x14ac:dyDescent="0.25">
      <c r="A419" t="s">
        <v>343</v>
      </c>
      <c r="B419" t="s">
        <v>344</v>
      </c>
      <c r="C419" t="s">
        <v>559</v>
      </c>
      <c r="D419" t="str">
        <f t="shared" si="8"/>
        <v>14506 Augiaush Road, Bagley, MN</v>
      </c>
    </row>
    <row r="420" spans="1:4" x14ac:dyDescent="0.25">
      <c r="A420" t="s">
        <v>1489</v>
      </c>
      <c r="B420" t="s">
        <v>1490</v>
      </c>
      <c r="C420" t="s">
        <v>506</v>
      </c>
      <c r="D420" t="str">
        <f t="shared" si="8"/>
        <v>96 E. Wheelock Parkway, St. Paul, MN</v>
      </c>
    </row>
    <row r="421" spans="1:4" x14ac:dyDescent="0.25">
      <c r="A421" t="s">
        <v>345</v>
      </c>
      <c r="B421" t="s">
        <v>346</v>
      </c>
      <c r="C421" t="s">
        <v>560</v>
      </c>
      <c r="D421" t="str">
        <f t="shared" si="8"/>
        <v>PO Box 7204, Olympia, WA</v>
      </c>
    </row>
    <row r="422" spans="1:4" x14ac:dyDescent="0.25">
      <c r="A422" t="s">
        <v>1639</v>
      </c>
      <c r="B422" t="s">
        <v>1640</v>
      </c>
      <c r="C422" t="s">
        <v>578</v>
      </c>
      <c r="D422" t="str">
        <f t="shared" si="8"/>
        <v>PO Box 40188, Philadelphia, PA</v>
      </c>
    </row>
    <row r="423" spans="1:4" x14ac:dyDescent="0.25">
      <c r="A423" t="s">
        <v>71</v>
      </c>
      <c r="B423" t="s">
        <v>1668</v>
      </c>
      <c r="C423" t="s">
        <v>524</v>
      </c>
      <c r="D423" t="str">
        <f t="shared" si="8"/>
        <v>205 W. 2nd St, Ste 15, Duluth, MN</v>
      </c>
    </row>
    <row r="424" spans="1:4" x14ac:dyDescent="0.25">
      <c r="A424" t="s">
        <v>1160</v>
      </c>
      <c r="B424" t="s">
        <v>1161</v>
      </c>
      <c r="C424" t="s">
        <v>1162</v>
      </c>
      <c r="D424" t="str">
        <f t="shared" si="8"/>
        <v>PO Box 50835, Mendota, MN</v>
      </c>
    </row>
    <row r="425" spans="1:4" x14ac:dyDescent="0.25">
      <c r="A425" t="s">
        <v>635</v>
      </c>
      <c r="B425" t="s">
        <v>636</v>
      </c>
      <c r="C425" t="s">
        <v>515</v>
      </c>
      <c r="D425" t="str">
        <f t="shared" si="8"/>
        <v>540 Fairview Ave. South Ste 301, Saint Paul, MN</v>
      </c>
    </row>
    <row r="426" spans="1:4" x14ac:dyDescent="0.25">
      <c r="A426" t="s">
        <v>680</v>
      </c>
      <c r="B426" t="s">
        <v>681</v>
      </c>
      <c r="C426" t="s">
        <v>506</v>
      </c>
      <c r="D426" t="str">
        <f t="shared" si="8"/>
        <v>550 Rice Street, Suite 103, St. Paul, MN</v>
      </c>
    </row>
    <row r="427" spans="1:4" x14ac:dyDescent="0.25">
      <c r="A427" t="s">
        <v>855</v>
      </c>
      <c r="B427" t="s">
        <v>856</v>
      </c>
      <c r="C427" t="s">
        <v>857</v>
      </c>
      <c r="D427" t="str">
        <f t="shared" si="8"/>
        <v>4-640 Broadway Ave, Winnepeg Manitoba</v>
      </c>
    </row>
    <row r="428" spans="1:4" x14ac:dyDescent="0.25">
      <c r="A428" t="s">
        <v>786</v>
      </c>
      <c r="B428" t="s">
        <v>787</v>
      </c>
      <c r="C428" t="s">
        <v>502</v>
      </c>
      <c r="D428" t="str">
        <f t="shared" si="8"/>
        <v>P.O. Box 17099, Minneapolis, MN</v>
      </c>
    </row>
    <row r="429" spans="1:4" x14ac:dyDescent="0.25">
      <c r="A429" t="s">
        <v>349</v>
      </c>
      <c r="B429" t="s">
        <v>350</v>
      </c>
      <c r="C429" t="s">
        <v>552</v>
      </c>
      <c r="D429" t="str">
        <f t="shared" si="8"/>
        <v>1783 Buerkle Circle, St Paul, MN</v>
      </c>
    </row>
    <row r="430" spans="1:4" x14ac:dyDescent="0.25">
      <c r="A430" t="s">
        <v>1163</v>
      </c>
      <c r="B430" t="s">
        <v>1164</v>
      </c>
      <c r="C430" t="s">
        <v>506</v>
      </c>
      <c r="D430" t="str">
        <f t="shared" si="8"/>
        <v>463 Maria Ave, St. Paul, MN</v>
      </c>
    </row>
    <row r="431" spans="1:4" x14ac:dyDescent="0.25">
      <c r="A431" t="s">
        <v>351</v>
      </c>
      <c r="B431" t="s">
        <v>352</v>
      </c>
      <c r="C431" t="s">
        <v>561</v>
      </c>
      <c r="D431" t="str">
        <f t="shared" si="8"/>
        <v>3460 West Lawrence Avenue, Chicago, IL</v>
      </c>
    </row>
    <row r="432" spans="1:4" x14ac:dyDescent="0.25">
      <c r="A432" t="s">
        <v>839</v>
      </c>
      <c r="B432" t="s">
        <v>840</v>
      </c>
      <c r="C432" t="s">
        <v>502</v>
      </c>
      <c r="D432" t="str">
        <f t="shared" si="8"/>
        <v>1035 E Franklin Ave, Minneapolis, MN</v>
      </c>
    </row>
    <row r="433" spans="1:4" x14ac:dyDescent="0.25">
      <c r="A433" t="s">
        <v>1165</v>
      </c>
      <c r="B433" t="s">
        <v>1166</v>
      </c>
      <c r="C433" t="s">
        <v>502</v>
      </c>
      <c r="D433" t="str">
        <f t="shared" si="8"/>
        <v>2834 10th Avenue S, Greenway Level, Suite 2, Minneapolis, MN</v>
      </c>
    </row>
    <row r="434" spans="1:4" x14ac:dyDescent="0.25">
      <c r="A434" t="s">
        <v>22</v>
      </c>
      <c r="B434" t="s">
        <v>149</v>
      </c>
      <c r="C434" t="s">
        <v>149</v>
      </c>
      <c r="D434" t="s">
        <v>1755</v>
      </c>
    </row>
    <row r="435" spans="1:4" x14ac:dyDescent="0.25">
      <c r="A435" t="s">
        <v>664</v>
      </c>
      <c r="B435" t="s">
        <v>665</v>
      </c>
      <c r="C435" t="s">
        <v>502</v>
      </c>
      <c r="D435" t="str">
        <f t="shared" ref="D435:D498" si="9">_xlfn.CONCAT(B435,", ",C435)</f>
        <v>1516 E Lake St # 300, Minneapolis, MN</v>
      </c>
    </row>
    <row r="436" spans="1:4" x14ac:dyDescent="0.25">
      <c r="A436" t="s">
        <v>1167</v>
      </c>
      <c r="B436" t="s">
        <v>1168</v>
      </c>
      <c r="C436" t="s">
        <v>1169</v>
      </c>
      <c r="D436" t="str">
        <f t="shared" si="9"/>
        <v>PO Box 834, Ashland, WI</v>
      </c>
    </row>
    <row r="437" spans="1:4" x14ac:dyDescent="0.25">
      <c r="A437" t="s">
        <v>825</v>
      </c>
      <c r="B437" t="s">
        <v>826</v>
      </c>
      <c r="C437" t="s">
        <v>502</v>
      </c>
      <c r="D437" t="str">
        <f t="shared" si="9"/>
        <v>1620 Central Avenue, Suite 175, Minneapolis, MN</v>
      </c>
    </row>
    <row r="438" spans="1:4" x14ac:dyDescent="0.25">
      <c r="A438" t="s">
        <v>1170</v>
      </c>
      <c r="B438" t="s">
        <v>1171</v>
      </c>
      <c r="C438" t="s">
        <v>506</v>
      </c>
      <c r="D438" t="str">
        <f t="shared" si="9"/>
        <v>2324 University Ave W., Suite 204, St. Paul, MN</v>
      </c>
    </row>
    <row r="439" spans="1:4" x14ac:dyDescent="0.25">
      <c r="A439" t="s">
        <v>641</v>
      </c>
      <c r="B439" t="s">
        <v>642</v>
      </c>
      <c r="C439" t="s">
        <v>515</v>
      </c>
      <c r="D439" t="str">
        <f t="shared" si="9"/>
        <v>26 E Exchange St, Ste 206, Saint Paul, MN</v>
      </c>
    </row>
    <row r="440" spans="1:4" x14ac:dyDescent="0.25">
      <c r="A440" t="s">
        <v>104</v>
      </c>
      <c r="B440" t="s">
        <v>1172</v>
      </c>
      <c r="C440" t="s">
        <v>506</v>
      </c>
      <c r="D440" t="str">
        <f t="shared" si="9"/>
        <v>2233 University Ave W. Suite 434, St. Paul, MN</v>
      </c>
    </row>
    <row r="441" spans="1:4" x14ac:dyDescent="0.25">
      <c r="A441" t="s">
        <v>1173</v>
      </c>
      <c r="B441" t="s">
        <v>1174</v>
      </c>
      <c r="C441" t="s">
        <v>1175</v>
      </c>
      <c r="D441" t="str">
        <f t="shared" si="9"/>
        <v>970 Pickett Street North, Bayport, MN</v>
      </c>
    </row>
    <row r="442" spans="1:4" x14ac:dyDescent="0.25">
      <c r="A442" t="s">
        <v>671</v>
      </c>
      <c r="B442" t="s">
        <v>672</v>
      </c>
      <c r="C442" t="s">
        <v>515</v>
      </c>
      <c r="D442" t="str">
        <f t="shared" si="9"/>
        <v>2314 University Ave W Ste 20, Saint Paul, MN</v>
      </c>
    </row>
    <row r="443" spans="1:4" x14ac:dyDescent="0.25">
      <c r="A443" t="s">
        <v>1176</v>
      </c>
      <c r="B443" t="s">
        <v>1177</v>
      </c>
      <c r="C443" t="s">
        <v>502</v>
      </c>
      <c r="D443" t="str">
        <f t="shared" si="9"/>
        <v>2929 University Ave SE #150, Minneapolis, MN</v>
      </c>
    </row>
    <row r="444" spans="1:4" x14ac:dyDescent="0.25">
      <c r="A444" t="s">
        <v>1671</v>
      </c>
      <c r="B444" t="s">
        <v>1672</v>
      </c>
      <c r="C444" t="s">
        <v>502</v>
      </c>
      <c r="D444" t="str">
        <f t="shared" si="9"/>
        <v>C/O Joo Hee Pomplum 1211 Washington St NE, Minneapolis, MN</v>
      </c>
    </row>
    <row r="445" spans="1:4" x14ac:dyDescent="0.25">
      <c r="A445" t="s">
        <v>111</v>
      </c>
      <c r="B445" t="s">
        <v>353</v>
      </c>
      <c r="C445" t="s">
        <v>502</v>
      </c>
      <c r="D445" t="str">
        <f t="shared" si="9"/>
        <v>2104 Stevens Ave. S., Minneapolis, MN</v>
      </c>
    </row>
    <row r="446" spans="1:4" x14ac:dyDescent="0.25">
      <c r="A446" t="s">
        <v>649</v>
      </c>
      <c r="B446" t="s">
        <v>650</v>
      </c>
      <c r="C446" t="s">
        <v>506</v>
      </c>
      <c r="D446" t="str">
        <f t="shared" si="9"/>
        <v>480 Cedar Street, St. Paul, MN</v>
      </c>
    </row>
    <row r="447" spans="1:4" x14ac:dyDescent="0.25">
      <c r="A447" t="s">
        <v>354</v>
      </c>
      <c r="B447" t="s">
        <v>355</v>
      </c>
      <c r="C447" t="s">
        <v>502</v>
      </c>
      <c r="D447" t="str">
        <f t="shared" si="9"/>
        <v>3744 4th Ave. South, Minneapolis, MN</v>
      </c>
    </row>
    <row r="448" spans="1:4" x14ac:dyDescent="0.25">
      <c r="A448" t="s">
        <v>82</v>
      </c>
      <c r="B448" t="s">
        <v>356</v>
      </c>
      <c r="C448" t="s">
        <v>502</v>
      </c>
      <c r="D448" t="str">
        <f t="shared" si="9"/>
        <v>3405 Chicago Ave., Minneapolis, MN</v>
      </c>
    </row>
    <row r="449" spans="1:4" x14ac:dyDescent="0.25">
      <c r="A449" t="s">
        <v>1178</v>
      </c>
      <c r="B449" t="s">
        <v>1179</v>
      </c>
      <c r="C449" t="s">
        <v>506</v>
      </c>
      <c r="D449" t="str">
        <f t="shared" si="9"/>
        <v>2469 University Ave. W, Suite W150, St. Paul, MN</v>
      </c>
    </row>
    <row r="450" spans="1:4" x14ac:dyDescent="0.25">
      <c r="A450" t="s">
        <v>99</v>
      </c>
      <c r="B450" t="s">
        <v>2240</v>
      </c>
      <c r="C450" t="s">
        <v>502</v>
      </c>
      <c r="D450" t="str">
        <f>_xlfn.CONCAT(B450,", ",C450)</f>
        <v>2211 Riverside Ave, Minneapolis, MN</v>
      </c>
    </row>
    <row r="451" spans="1:4" x14ac:dyDescent="0.25">
      <c r="A451" t="s">
        <v>1689</v>
      </c>
      <c r="B451" t="s">
        <v>1690</v>
      </c>
      <c r="C451" t="s">
        <v>502</v>
      </c>
      <c r="D451" t="str">
        <f t="shared" si="9"/>
        <v>706 N 1st St, Suite 110, Minneapolis, MN</v>
      </c>
    </row>
    <row r="452" spans="1:4" x14ac:dyDescent="0.25">
      <c r="A452" t="s">
        <v>1180</v>
      </c>
      <c r="B452" t="s">
        <v>1181</v>
      </c>
      <c r="C452" t="s">
        <v>506</v>
      </c>
      <c r="D452" t="str">
        <f t="shared" si="9"/>
        <v>550 Rice Street Suite 1A, St. Paul, MN</v>
      </c>
    </row>
    <row r="453" spans="1:4" x14ac:dyDescent="0.25">
      <c r="A453" t="s">
        <v>1677</v>
      </c>
      <c r="B453" t="s">
        <v>1678</v>
      </c>
      <c r="C453" t="s">
        <v>524</v>
      </c>
      <c r="D453" t="str">
        <f t="shared" si="9"/>
        <v>32 Cato Avenue, Duluth, MN</v>
      </c>
    </row>
    <row r="454" spans="1:4" x14ac:dyDescent="0.25">
      <c r="A454" t="s">
        <v>1719</v>
      </c>
      <c r="B454" t="s">
        <v>1720</v>
      </c>
      <c r="C454" t="s">
        <v>545</v>
      </c>
      <c r="D454" t="str">
        <f t="shared" si="9"/>
        <v>100 Pine Street, Ste 1550, San Francisco, CA</v>
      </c>
    </row>
    <row r="455" spans="1:4" x14ac:dyDescent="0.25">
      <c r="A455" t="s">
        <v>628</v>
      </c>
      <c r="B455" t="s">
        <v>629</v>
      </c>
      <c r="C455" t="s">
        <v>502</v>
      </c>
      <c r="D455" t="str">
        <f t="shared" si="9"/>
        <v>1501 S 4th St, Minneapolis, MN</v>
      </c>
    </row>
    <row r="456" spans="1:4" x14ac:dyDescent="0.25">
      <c r="A456" t="s">
        <v>1182</v>
      </c>
      <c r="B456" t="s">
        <v>1183</v>
      </c>
      <c r="C456" t="s">
        <v>502</v>
      </c>
      <c r="D456" t="str">
        <f t="shared" si="9"/>
        <v>3702 East Lake Street Suite 150, Minneapolis, MN</v>
      </c>
    </row>
    <row r="457" spans="1:4" x14ac:dyDescent="0.25">
      <c r="A457" t="s">
        <v>1184</v>
      </c>
      <c r="B457" t="s">
        <v>1172</v>
      </c>
      <c r="C457" t="s">
        <v>506</v>
      </c>
      <c r="D457" t="str">
        <f t="shared" si="9"/>
        <v>2233 University Ave W. Suite 434, St. Paul, MN</v>
      </c>
    </row>
    <row r="458" spans="1:4" x14ac:dyDescent="0.25">
      <c r="A458" t="s">
        <v>1185</v>
      </c>
      <c r="B458" t="s">
        <v>1186</v>
      </c>
      <c r="C458" t="s">
        <v>1187</v>
      </c>
      <c r="D458" t="str">
        <f t="shared" si="9"/>
        <v>Bad Address, St. Paul
, MN</v>
      </c>
    </row>
    <row r="459" spans="1:4" x14ac:dyDescent="0.25">
      <c r="A459" t="s">
        <v>1188</v>
      </c>
      <c r="B459" t="s">
        <v>1189</v>
      </c>
      <c r="C459" t="s">
        <v>1190</v>
      </c>
      <c r="D459" t="str">
        <f t="shared" si="9"/>
        <v>PO Box 279, St. Bonifacius, MN</v>
      </c>
    </row>
    <row r="460" spans="1:4" x14ac:dyDescent="0.25">
      <c r="A460" t="s">
        <v>1191</v>
      </c>
      <c r="B460" t="s">
        <v>1192</v>
      </c>
      <c r="C460" t="s">
        <v>1193</v>
      </c>
      <c r="D460" t="str">
        <f t="shared" si="9"/>
        <v>14220 Ostlund Trail N, Marine on the St. Croix, MN</v>
      </c>
    </row>
    <row r="461" spans="1:4" x14ac:dyDescent="0.25">
      <c r="A461" t="s">
        <v>79</v>
      </c>
      <c r="B461" t="s">
        <v>358</v>
      </c>
      <c r="C461" t="s">
        <v>515</v>
      </c>
      <c r="D461" t="str">
        <f t="shared" si="9"/>
        <v>2314 University Ave W, Suite 28, Saint Paul, MN</v>
      </c>
    </row>
    <row r="462" spans="1:4" x14ac:dyDescent="0.25">
      <c r="A462" t="s">
        <v>1194</v>
      </c>
      <c r="B462" t="s">
        <v>1195</v>
      </c>
      <c r="C462" t="s">
        <v>502</v>
      </c>
      <c r="D462" t="str">
        <f t="shared" si="9"/>
        <v>1516 East Lake Street Suite 202, Minneapolis, MN</v>
      </c>
    </row>
    <row r="463" spans="1:4" x14ac:dyDescent="0.25">
      <c r="A463" t="s">
        <v>1641</v>
      </c>
      <c r="B463" t="s">
        <v>1642</v>
      </c>
      <c r="C463" t="s">
        <v>502</v>
      </c>
      <c r="D463" t="str">
        <f t="shared" si="9"/>
        <v>4200 Cedar Ave S Ste A, Minneapolis, MN</v>
      </c>
    </row>
    <row r="464" spans="1:4" x14ac:dyDescent="0.25">
      <c r="A464" t="s">
        <v>1196</v>
      </c>
      <c r="B464" t="s">
        <v>1197</v>
      </c>
      <c r="C464" t="s">
        <v>502</v>
      </c>
      <c r="D464" t="str">
        <f t="shared" si="9"/>
        <v>PO Box 3717, Minneapolis, MN</v>
      </c>
    </row>
    <row r="465" spans="1:4" x14ac:dyDescent="0.25">
      <c r="A465" t="s">
        <v>1198</v>
      </c>
      <c r="B465" t="s">
        <v>1199</v>
      </c>
      <c r="C465" t="s">
        <v>502</v>
      </c>
      <c r="D465" t="str">
        <f t="shared" si="9"/>
        <v>P.O. Box 6316, Minneapolis, MN</v>
      </c>
    </row>
    <row r="466" spans="1:4" x14ac:dyDescent="0.25">
      <c r="A466" t="s">
        <v>1200</v>
      </c>
      <c r="B466" t="s">
        <v>1201</v>
      </c>
      <c r="C466" t="s">
        <v>502</v>
      </c>
      <c r="D466" t="str">
        <f t="shared" si="9"/>
        <v>2722 University Ave SE, Minneapolis, MN</v>
      </c>
    </row>
    <row r="467" spans="1:4" x14ac:dyDescent="0.25">
      <c r="A467" t="s">
        <v>1202</v>
      </c>
      <c r="B467" t="s">
        <v>1203</v>
      </c>
      <c r="C467" t="s">
        <v>506</v>
      </c>
      <c r="D467" t="str">
        <f t="shared" si="9"/>
        <v>253 State Street, St. Paul, MN</v>
      </c>
    </row>
    <row r="468" spans="1:4" x14ac:dyDescent="0.25">
      <c r="A468" t="s">
        <v>1204</v>
      </c>
      <c r="B468" t="s">
        <v>1205</v>
      </c>
      <c r="C468" t="s">
        <v>502</v>
      </c>
      <c r="D468" t="str">
        <f t="shared" si="9"/>
        <v>122 W Franklin Ave Ste 303, P.O. Box 6966, Minneapolis, MN</v>
      </c>
    </row>
    <row r="469" spans="1:4" x14ac:dyDescent="0.25">
      <c r="A469" t="s">
        <v>1206</v>
      </c>
      <c r="B469" t="s">
        <v>1207</v>
      </c>
      <c r="C469" t="s">
        <v>502</v>
      </c>
      <c r="D469" t="str">
        <f t="shared" si="9"/>
        <v>100 W. Diamond Lk Rd #207, Minneapolis, MN</v>
      </c>
    </row>
    <row r="470" spans="1:4" x14ac:dyDescent="0.25">
      <c r="A470" t="s">
        <v>1208</v>
      </c>
      <c r="B470" t="s">
        <v>1209</v>
      </c>
      <c r="C470" t="s">
        <v>502</v>
      </c>
      <c r="D470" t="str">
        <f t="shared" si="9"/>
        <v>4749 5th St NE, Minneapolis, MN</v>
      </c>
    </row>
    <row r="471" spans="1:4" x14ac:dyDescent="0.25">
      <c r="A471" t="s">
        <v>1210</v>
      </c>
      <c r="B471" t="s">
        <v>1211</v>
      </c>
      <c r="C471" t="s">
        <v>506</v>
      </c>
      <c r="D471" t="str">
        <f t="shared" si="9"/>
        <v>1821 University Ave, Suite N-184, St. Paul, MN</v>
      </c>
    </row>
    <row r="472" spans="1:4" x14ac:dyDescent="0.25">
      <c r="A472" t="s">
        <v>1212</v>
      </c>
      <c r="B472" t="s">
        <v>1213</v>
      </c>
      <c r="C472" t="s">
        <v>502</v>
      </c>
      <c r="D472" t="str">
        <f t="shared" si="9"/>
        <v>122W Franklin Ave, Suite 303, Minneapolis, MN</v>
      </c>
    </row>
    <row r="473" spans="1:4" x14ac:dyDescent="0.25">
      <c r="A473" t="s">
        <v>1214</v>
      </c>
      <c r="B473" t="s">
        <v>941</v>
      </c>
      <c r="C473" t="s">
        <v>506</v>
      </c>
      <c r="D473" t="str">
        <f t="shared" si="9"/>
        <v>550 Rice Street, St. Paul, MN</v>
      </c>
    </row>
    <row r="474" spans="1:4" x14ac:dyDescent="0.25">
      <c r="A474" t="s">
        <v>1215</v>
      </c>
      <c r="B474" t="s">
        <v>1216</v>
      </c>
      <c r="C474" t="s">
        <v>502</v>
      </c>
      <c r="D474" t="str">
        <f t="shared" si="9"/>
        <v>2104 Stevens Ave S, Minneapolis, MN</v>
      </c>
    </row>
    <row r="475" spans="1:4" x14ac:dyDescent="0.25">
      <c r="A475" t="s">
        <v>182</v>
      </c>
      <c r="B475" t="s">
        <v>183</v>
      </c>
      <c r="C475" t="s">
        <v>515</v>
      </c>
      <c r="D475" t="str">
        <f t="shared" si="9"/>
        <v>209 Page Street, Saint Paul, MN</v>
      </c>
    </row>
    <row r="476" spans="1:4" x14ac:dyDescent="0.25">
      <c r="A476" t="s">
        <v>866</v>
      </c>
      <c r="B476" t="s">
        <v>867</v>
      </c>
      <c r="C476" t="s">
        <v>582</v>
      </c>
      <c r="D476" t="str">
        <f t="shared" si="9"/>
        <v>725 W. Alder Street Suite #21, Missoula, MT</v>
      </c>
    </row>
    <row r="477" spans="1:4" x14ac:dyDescent="0.25">
      <c r="A477" t="s">
        <v>1691</v>
      </c>
      <c r="B477" t="s">
        <v>1692</v>
      </c>
      <c r="C477" t="s">
        <v>506</v>
      </c>
      <c r="D477" t="str">
        <f t="shared" si="9"/>
        <v>1909 Ivy Avenue East, St. Paul, MN</v>
      </c>
    </row>
    <row r="478" spans="1:4" x14ac:dyDescent="0.25">
      <c r="A478" t="s">
        <v>1652</v>
      </c>
      <c r="B478" t="s">
        <v>1653</v>
      </c>
      <c r="C478" t="s">
        <v>1654</v>
      </c>
      <c r="D478" t="str">
        <f t="shared" si="9"/>
        <v>28890 Connection Drive SE, Pennington, MN</v>
      </c>
    </row>
    <row r="479" spans="1:4" x14ac:dyDescent="0.25">
      <c r="A479" t="s">
        <v>757</v>
      </c>
      <c r="B479" t="s">
        <v>758</v>
      </c>
      <c r="C479" t="s">
        <v>759</v>
      </c>
      <c r="D479" t="str">
        <f t="shared" si="9"/>
        <v>PO BOX 610, Eureka, CA</v>
      </c>
    </row>
    <row r="480" spans="1:4" x14ac:dyDescent="0.25">
      <c r="A480" t="s">
        <v>1217</v>
      </c>
      <c r="B480" t="s">
        <v>1218</v>
      </c>
      <c r="C480" t="s">
        <v>505</v>
      </c>
      <c r="D480" t="str">
        <f t="shared" si="9"/>
        <v>PO Box 1075, Moorhead, MN</v>
      </c>
    </row>
    <row r="481" spans="1:4" x14ac:dyDescent="0.25">
      <c r="A481" t="s">
        <v>886</v>
      </c>
      <c r="B481" t="s">
        <v>887</v>
      </c>
      <c r="C481" t="s">
        <v>888</v>
      </c>
      <c r="D481" t="str">
        <f t="shared" si="9"/>
        <v>PO Box 4524, Albuquerque, NM</v>
      </c>
    </row>
    <row r="482" spans="1:4" x14ac:dyDescent="0.25">
      <c r="A482" t="s">
        <v>363</v>
      </c>
      <c r="B482" t="s">
        <v>364</v>
      </c>
      <c r="C482" t="s">
        <v>513</v>
      </c>
      <c r="D482" t="str">
        <f t="shared" si="9"/>
        <v>40 Rector Street, 5th Floor, New York, NY</v>
      </c>
    </row>
    <row r="483" spans="1:4" x14ac:dyDescent="0.25">
      <c r="A483" t="s">
        <v>100</v>
      </c>
      <c r="B483" t="s">
        <v>1219</v>
      </c>
      <c r="C483" t="s">
        <v>506</v>
      </c>
      <c r="D483" t="str">
        <f t="shared" si="9"/>
        <v>2300 Myrtle St, Suite 120, St. Paul, MN</v>
      </c>
    </row>
    <row r="484" spans="1:4" x14ac:dyDescent="0.25">
      <c r="A484" t="s">
        <v>1220</v>
      </c>
      <c r="B484" t="s">
        <v>1221</v>
      </c>
      <c r="C484" t="s">
        <v>504</v>
      </c>
      <c r="D484" t="str">
        <f t="shared" si="9"/>
        <v>3300 County Road 10, Ste 303, Brooklyn Center, MN</v>
      </c>
    </row>
    <row r="485" spans="1:4" x14ac:dyDescent="0.25">
      <c r="A485" t="s">
        <v>1222</v>
      </c>
      <c r="B485" t="s">
        <v>1223</v>
      </c>
      <c r="C485" t="s">
        <v>513</v>
      </c>
      <c r="D485" t="str">
        <f t="shared" si="9"/>
        <v>80 Maiden Lane, Suite 1504, New York, NY</v>
      </c>
    </row>
    <row r="486" spans="1:4" x14ac:dyDescent="0.25">
      <c r="A486" t="s">
        <v>1585</v>
      </c>
      <c r="B486" t="s">
        <v>386</v>
      </c>
      <c r="C486" t="s">
        <v>561</v>
      </c>
      <c r="D486" t="str">
        <f t="shared" si="9"/>
        <v>810 N. Milwaukee, Chicago, IL</v>
      </c>
    </row>
    <row r="487" spans="1:4" x14ac:dyDescent="0.25">
      <c r="A487" t="s">
        <v>900</v>
      </c>
      <c r="B487" t="s">
        <v>901</v>
      </c>
      <c r="C487" t="s">
        <v>872</v>
      </c>
      <c r="D487" t="str">
        <f t="shared" si="9"/>
        <v>Tribal Lands Partnerships
 2020 Tired Man Road , Billings, MT</v>
      </c>
    </row>
    <row r="488" spans="1:4" x14ac:dyDescent="0.25">
      <c r="A488" t="s">
        <v>43</v>
      </c>
      <c r="B488" t="s">
        <v>620</v>
      </c>
      <c r="C488" t="s">
        <v>502</v>
      </c>
      <c r="D488" t="str">
        <f t="shared" si="9"/>
        <v>1414 E Franklin Ave., Minneapolis, MN</v>
      </c>
    </row>
    <row r="489" spans="1:4" x14ac:dyDescent="0.25">
      <c r="A489" t="s">
        <v>806</v>
      </c>
      <c r="B489" t="s">
        <v>807</v>
      </c>
      <c r="C489" t="s">
        <v>510</v>
      </c>
      <c r="D489" t="str">
        <f t="shared" si="9"/>
        <v>8558 N. County Road K PO Box 1500, Lac Courte Oreilles Reservation, Hayward, WI</v>
      </c>
    </row>
    <row r="490" spans="1:4" x14ac:dyDescent="0.25">
      <c r="A490" t="s">
        <v>365</v>
      </c>
      <c r="B490" t="s">
        <v>366</v>
      </c>
      <c r="C490" t="s">
        <v>563</v>
      </c>
      <c r="D490" t="str">
        <f t="shared" si="9"/>
        <v>607 Main Avenue, Callaway, MN</v>
      </c>
    </row>
    <row r="491" spans="1:4" x14ac:dyDescent="0.25">
      <c r="A491" t="s">
        <v>1224</v>
      </c>
      <c r="B491" t="s">
        <v>1225</v>
      </c>
      <c r="C491" t="s">
        <v>1226</v>
      </c>
      <c r="D491" t="str">
        <f t="shared" si="9"/>
        <v>MCT Headquarter Bldg, PO Box 217, Cass Lake, MN</v>
      </c>
    </row>
    <row r="492" spans="1:4" x14ac:dyDescent="0.25">
      <c r="A492" t="s">
        <v>1224</v>
      </c>
      <c r="B492" t="s">
        <v>1227</v>
      </c>
      <c r="C492" t="s">
        <v>516</v>
      </c>
      <c r="D492" t="str">
        <f t="shared" si="9"/>
        <v>PO Box 217, Bemidji, MN</v>
      </c>
    </row>
    <row r="493" spans="1:4" x14ac:dyDescent="0.25">
      <c r="A493" t="s">
        <v>76</v>
      </c>
      <c r="B493" t="s">
        <v>367</v>
      </c>
      <c r="C493" t="s">
        <v>502</v>
      </c>
      <c r="D493" t="str">
        <f t="shared" si="9"/>
        <v>1113 E. Franklin Avenue, Suite 103, Minneapolis, MN</v>
      </c>
    </row>
    <row r="494" spans="1:4" x14ac:dyDescent="0.25">
      <c r="A494" t="s">
        <v>1643</v>
      </c>
      <c r="B494" t="s">
        <v>1644</v>
      </c>
      <c r="C494" t="s">
        <v>1645</v>
      </c>
      <c r="D494" t="str">
        <f t="shared" si="9"/>
        <v>322 Laurel Street Suite 21, Brainerd, MN</v>
      </c>
    </row>
    <row r="495" spans="1:4" x14ac:dyDescent="0.25">
      <c r="A495" t="s">
        <v>1494</v>
      </c>
      <c r="B495" t="s">
        <v>1495</v>
      </c>
      <c r="C495" t="s">
        <v>737</v>
      </c>
      <c r="D495" t="str">
        <f t="shared" si="9"/>
        <v>PO Box 241, Pine Ridge, SD</v>
      </c>
    </row>
    <row r="496" spans="1:4" x14ac:dyDescent="0.25">
      <c r="A496" t="s">
        <v>720</v>
      </c>
      <c r="B496" t="s">
        <v>721</v>
      </c>
      <c r="C496" t="s">
        <v>502</v>
      </c>
      <c r="D496" t="str">
        <f t="shared" si="9"/>
        <v>1001 E. Lake St, Minneapolis, MN</v>
      </c>
    </row>
    <row r="497" spans="1:4" x14ac:dyDescent="0.25">
      <c r="A497" t="s">
        <v>1646</v>
      </c>
      <c r="B497" t="s">
        <v>1647</v>
      </c>
      <c r="C497" t="s">
        <v>528</v>
      </c>
      <c r="D497" t="str">
        <f t="shared" si="9"/>
        <v>1152 15th Street NW Suite 300, Washington, DC</v>
      </c>
    </row>
    <row r="498" spans="1:4" x14ac:dyDescent="0.25">
      <c r="A498" t="s">
        <v>1228</v>
      </c>
      <c r="B498" t="s">
        <v>1229</v>
      </c>
      <c r="C498" t="s">
        <v>502</v>
      </c>
      <c r="D498" t="str">
        <f t="shared" si="9"/>
        <v>2211 Riverside Avenue CB2265, Minneapolis, MN</v>
      </c>
    </row>
    <row r="499" spans="1:4" x14ac:dyDescent="0.25">
      <c r="A499" t="s">
        <v>105</v>
      </c>
      <c r="B499" t="s">
        <v>1230</v>
      </c>
      <c r="C499" t="s">
        <v>502</v>
      </c>
      <c r="D499" t="str">
        <f t="shared" ref="D499:D562" si="10">_xlfn.CONCAT(B499,", ",C499)</f>
        <v>4137 Bloomington Ave, Minneapolis, MN</v>
      </c>
    </row>
    <row r="500" spans="1:4" x14ac:dyDescent="0.25">
      <c r="A500" t="s">
        <v>1681</v>
      </c>
      <c r="B500" t="s">
        <v>1682</v>
      </c>
      <c r="C500" t="s">
        <v>506</v>
      </c>
      <c r="D500" t="str">
        <f t="shared" si="10"/>
        <v>Wabasha Center 481 S Wabasha St., St. Paul, MN</v>
      </c>
    </row>
    <row r="501" spans="1:4" x14ac:dyDescent="0.25">
      <c r="A501" t="s">
        <v>6</v>
      </c>
      <c r="B501" t="s">
        <v>812</v>
      </c>
      <c r="C501" t="s">
        <v>502</v>
      </c>
      <c r="D501" t="str">
        <f t="shared" si="10"/>
        <v>1101 West Broadway Avenue, Suite 100, Minneapolis, MN</v>
      </c>
    </row>
    <row r="502" spans="1:4" x14ac:dyDescent="0.25">
      <c r="A502" t="s">
        <v>423</v>
      </c>
      <c r="B502" t="s">
        <v>424</v>
      </c>
      <c r="C502" t="s">
        <v>504</v>
      </c>
      <c r="D502" t="str">
        <f t="shared" si="10"/>
        <v>5701 Shingle Creek Pkwy Suite 540, Brooklyn Center, MN</v>
      </c>
    </row>
    <row r="503" spans="1:4" x14ac:dyDescent="0.25">
      <c r="A503" t="s">
        <v>1586</v>
      </c>
      <c r="B503" t="s">
        <v>1587</v>
      </c>
      <c r="C503" t="s">
        <v>1588</v>
      </c>
      <c r="D503" t="str">
        <f t="shared" si="10"/>
        <v>1832 Mound Rd., Piketon, OH</v>
      </c>
    </row>
    <row r="504" spans="1:4" x14ac:dyDescent="0.25">
      <c r="A504" t="s">
        <v>1231</v>
      </c>
      <c r="B504" t="s">
        <v>1232</v>
      </c>
      <c r="C504" t="s">
        <v>1233</v>
      </c>
      <c r="D504" t="str">
        <f t="shared" si="10"/>
        <v>6875 Washington Ave S #103, Edina, MN</v>
      </c>
    </row>
    <row r="505" spans="1:4" x14ac:dyDescent="0.25">
      <c r="A505" t="s">
        <v>1234</v>
      </c>
      <c r="B505" t="s">
        <v>1235</v>
      </c>
      <c r="C505" t="s">
        <v>506</v>
      </c>
      <c r="D505" t="str">
        <f t="shared" si="10"/>
        <v>1821 University Avenue, Suite 328-S, St. Paul, MN</v>
      </c>
    </row>
    <row r="506" spans="1:4" x14ac:dyDescent="0.25">
      <c r="A506" t="s">
        <v>1236</v>
      </c>
      <c r="B506" t="s">
        <v>1237</v>
      </c>
      <c r="C506" t="s">
        <v>506</v>
      </c>
      <c r="D506" t="str">
        <f t="shared" si="10"/>
        <v>450 Syndicate Street North, Suite 380, St. Paul, MN</v>
      </c>
    </row>
    <row r="507" spans="1:4" x14ac:dyDescent="0.25">
      <c r="A507" t="s">
        <v>1589</v>
      </c>
      <c r="B507" t="s">
        <v>1590</v>
      </c>
      <c r="C507" t="s">
        <v>506</v>
      </c>
      <c r="D507" t="str">
        <f t="shared" si="10"/>
        <v>1145 Westminster St., St. Paul, MN</v>
      </c>
    </row>
    <row r="508" spans="1:4" x14ac:dyDescent="0.25">
      <c r="A508" t="s">
        <v>1238</v>
      </c>
      <c r="B508" t="s">
        <v>1239</v>
      </c>
      <c r="C508" t="s">
        <v>1240</v>
      </c>
      <c r="D508" t="str">
        <f t="shared" si="10"/>
        <v>P.O. Box 365, 114 Veterans Drive, Lapwai, ID</v>
      </c>
    </row>
    <row r="509" spans="1:4" x14ac:dyDescent="0.25">
      <c r="A509" t="s">
        <v>368</v>
      </c>
      <c r="B509" t="s">
        <v>369</v>
      </c>
      <c r="C509" t="s">
        <v>502</v>
      </c>
      <c r="D509" t="str">
        <f t="shared" si="10"/>
        <v>1335 E 23rd Street, Minneapolis, MN</v>
      </c>
    </row>
    <row r="510" spans="1:4" x14ac:dyDescent="0.25">
      <c r="A510" t="s">
        <v>632</v>
      </c>
      <c r="B510" t="s">
        <v>633</v>
      </c>
      <c r="C510" t="s">
        <v>502</v>
      </c>
      <c r="D510" t="str">
        <f t="shared" si="10"/>
        <v>2801 21st Ave S Sutie 210, Minneapolis, MN</v>
      </c>
    </row>
    <row r="511" spans="1:4" x14ac:dyDescent="0.25">
      <c r="A511" t="s">
        <v>1241</v>
      </c>
      <c r="B511" t="s">
        <v>1242</v>
      </c>
      <c r="C511" t="s">
        <v>1243</v>
      </c>
      <c r="D511" t="str">
        <f t="shared" si="10"/>
        <v>PO Box 174, Lake Elmo, MN</v>
      </c>
    </row>
    <row r="512" spans="1:4" x14ac:dyDescent="0.25">
      <c r="A512" t="s">
        <v>370</v>
      </c>
      <c r="B512" t="s">
        <v>371</v>
      </c>
      <c r="C512" t="s">
        <v>564</v>
      </c>
      <c r="D512" t="str">
        <f t="shared" si="10"/>
        <v>1313 Penn Avenue North, Minnepolis, MN</v>
      </c>
    </row>
    <row r="513" spans="1:4" x14ac:dyDescent="0.25">
      <c r="A513" t="s">
        <v>660</v>
      </c>
      <c r="B513" t="s">
        <v>661</v>
      </c>
      <c r="C513" t="s">
        <v>513</v>
      </c>
      <c r="D513" t="str">
        <f t="shared" si="10"/>
        <v>520 8th Ave Rm 2203, New York, NY</v>
      </c>
    </row>
    <row r="514" spans="1:4" x14ac:dyDescent="0.25">
      <c r="A514" t="s">
        <v>1244</v>
      </c>
      <c r="B514" t="s">
        <v>1245</v>
      </c>
      <c r="C514" t="s">
        <v>502</v>
      </c>
      <c r="D514" t="str">
        <f t="shared" si="10"/>
        <v>219 Main Street SE Suite 500, Minneapolis, MN</v>
      </c>
    </row>
    <row r="515" spans="1:4" x14ac:dyDescent="0.25">
      <c r="A515" t="s">
        <v>1246</v>
      </c>
      <c r="B515" t="s">
        <v>1247</v>
      </c>
      <c r="C515" t="s">
        <v>1248</v>
      </c>
      <c r="D515" t="str">
        <f t="shared" si="10"/>
        <v>Business Office, P.O. Box 367, 1906 5th Ave SE, Little Falls, MN</v>
      </c>
    </row>
    <row r="516" spans="1:4" x14ac:dyDescent="0.25">
      <c r="A516" t="s">
        <v>1249</v>
      </c>
      <c r="B516" t="s">
        <v>1250</v>
      </c>
      <c r="C516" t="s">
        <v>506</v>
      </c>
      <c r="D516" t="str">
        <f t="shared" si="10"/>
        <v>391 Banfil St, St. Paul, MN</v>
      </c>
    </row>
    <row r="517" spans="1:4" x14ac:dyDescent="0.25">
      <c r="A517" t="s">
        <v>722</v>
      </c>
      <c r="B517" t="s">
        <v>723</v>
      </c>
      <c r="C517" t="s">
        <v>502</v>
      </c>
      <c r="D517" t="str">
        <f t="shared" si="10"/>
        <v>1315 Penn Avenue North, Minneapolis, MN</v>
      </c>
    </row>
    <row r="518" spans="1:4" x14ac:dyDescent="0.25">
      <c r="A518" t="s">
        <v>1251</v>
      </c>
      <c r="B518" t="s">
        <v>1252</v>
      </c>
      <c r="C518" t="s">
        <v>502</v>
      </c>
      <c r="D518" t="str">
        <f t="shared" si="10"/>
        <v>C/O West Broadway Business &amp; Area Coalition, 1011 West Broadway, Suite 202, Minneapolis, MN</v>
      </c>
    </row>
    <row r="519" spans="1:4" x14ac:dyDescent="0.25">
      <c r="A519" t="s">
        <v>724</v>
      </c>
      <c r="B519" t="s">
        <v>725</v>
      </c>
      <c r="C519" t="s">
        <v>516</v>
      </c>
      <c r="D519" t="str">
        <f t="shared" si="10"/>
        <v>1819 Bemidji Ave., Bemidji, MN</v>
      </c>
    </row>
    <row r="520" spans="1:4" x14ac:dyDescent="0.25">
      <c r="A520" t="s">
        <v>1253</v>
      </c>
      <c r="B520" t="s">
        <v>1254</v>
      </c>
      <c r="C520" t="s">
        <v>1255</v>
      </c>
      <c r="D520" t="str">
        <f t="shared" si="10"/>
        <v>PO Box 786, Lac du Flambeau, WI</v>
      </c>
    </row>
    <row r="521" spans="1:4" x14ac:dyDescent="0.25">
      <c r="A521" t="s">
        <v>1591</v>
      </c>
      <c r="B521" t="s">
        <v>1592</v>
      </c>
      <c r="C521" t="s">
        <v>1593</v>
      </c>
      <c r="D521" t="str">
        <f t="shared" si="10"/>
        <v>329 Main Street, Holyoke, MA</v>
      </c>
    </row>
    <row r="522" spans="1:4" x14ac:dyDescent="0.25">
      <c r="A522" t="s">
        <v>1256</v>
      </c>
      <c r="B522" t="s">
        <v>1257</v>
      </c>
      <c r="C522" t="s">
        <v>502</v>
      </c>
      <c r="D522" t="str">
        <f t="shared" si="10"/>
        <v>911 W. Broadway Ave, Minneapolis, MN</v>
      </c>
    </row>
    <row r="523" spans="1:4" x14ac:dyDescent="0.25">
      <c r="A523" t="s">
        <v>735</v>
      </c>
      <c r="B523" t="s">
        <v>736</v>
      </c>
      <c r="C523" t="s">
        <v>737</v>
      </c>
      <c r="D523" t="str">
        <f t="shared" si="10"/>
        <v>PO Box 1958, Pine Ridge, SD</v>
      </c>
    </row>
    <row r="524" spans="1:4" x14ac:dyDescent="0.25">
      <c r="A524" t="s">
        <v>374</v>
      </c>
      <c r="B524" t="s">
        <v>375</v>
      </c>
      <c r="C524" t="s">
        <v>565</v>
      </c>
      <c r="D524" t="str">
        <f t="shared" si="10"/>
        <v>PO Box 37, Pa'auila, HI</v>
      </c>
    </row>
    <row r="525" spans="1:4" x14ac:dyDescent="0.25">
      <c r="A525" t="s">
        <v>1258</v>
      </c>
      <c r="B525" t="s">
        <v>1259</v>
      </c>
      <c r="C525" t="s">
        <v>502</v>
      </c>
      <c r="D525" t="str">
        <f t="shared" si="10"/>
        <v>2104 Stevens Ave S., Minneapolis, MN</v>
      </c>
    </row>
    <row r="526" spans="1:4" x14ac:dyDescent="0.25">
      <c r="A526" t="s">
        <v>376</v>
      </c>
      <c r="B526" t="s">
        <v>377</v>
      </c>
      <c r="C526" t="s">
        <v>502</v>
      </c>
      <c r="D526" t="str">
        <f t="shared" si="10"/>
        <v>3325 2nd Ave S, Minneapolis, MN</v>
      </c>
    </row>
    <row r="527" spans="1:4" x14ac:dyDescent="0.25">
      <c r="A527" t="s">
        <v>1260</v>
      </c>
      <c r="B527" t="s">
        <v>1261</v>
      </c>
      <c r="C527" t="s">
        <v>506</v>
      </c>
      <c r="D527" t="str">
        <f t="shared" si="10"/>
        <v>1821 University Ave W Ste N-184, St. Paul, MN</v>
      </c>
    </row>
    <row r="528" spans="1:4" x14ac:dyDescent="0.25">
      <c r="A528" t="s">
        <v>752</v>
      </c>
      <c r="B528" t="s">
        <v>753</v>
      </c>
      <c r="C528" t="s">
        <v>754</v>
      </c>
      <c r="D528" t="str">
        <f t="shared" si="10"/>
        <v>5500 Opportunity Court, Minnetonka, MN</v>
      </c>
    </row>
    <row r="529" spans="1:4" x14ac:dyDescent="0.25">
      <c r="A529" t="s">
        <v>1263</v>
      </c>
      <c r="B529" t="s">
        <v>1264</v>
      </c>
      <c r="C529" t="s">
        <v>506</v>
      </c>
      <c r="D529" t="str">
        <f t="shared" si="10"/>
        <v>465 Mackubin Street, St. Paul, MN</v>
      </c>
    </row>
    <row r="530" spans="1:4" x14ac:dyDescent="0.25">
      <c r="A530" t="s">
        <v>1265</v>
      </c>
      <c r="B530" t="s">
        <v>1266</v>
      </c>
      <c r="C530" t="s">
        <v>507</v>
      </c>
      <c r="D530" t="str">
        <f t="shared" si="10"/>
        <v>8148 Kentucky Ave S, Bloomington, MN</v>
      </c>
    </row>
    <row r="531" spans="1:4" x14ac:dyDescent="0.25">
      <c r="A531" t="s">
        <v>1697</v>
      </c>
      <c r="B531" t="s">
        <v>1698</v>
      </c>
      <c r="C531" t="s">
        <v>502</v>
      </c>
      <c r="D531" t="str">
        <f t="shared" si="10"/>
        <v>2315 Chicago Ave. So., Minneapolis, MN</v>
      </c>
    </row>
    <row r="532" spans="1:4" x14ac:dyDescent="0.25">
      <c r="A532" t="s">
        <v>31</v>
      </c>
      <c r="B532" t="s">
        <v>1267</v>
      </c>
      <c r="C532" t="s">
        <v>502</v>
      </c>
      <c r="D532" t="str">
        <f t="shared" si="10"/>
        <v>310 E. 38th St  Ste 204, Minneapolis, MN</v>
      </c>
    </row>
    <row r="533" spans="1:4" x14ac:dyDescent="0.25">
      <c r="A533" t="s">
        <v>1496</v>
      </c>
      <c r="B533" t="s">
        <v>1497</v>
      </c>
      <c r="C533" t="s">
        <v>513</v>
      </c>
      <c r="D533" t="str">
        <f t="shared" si="10"/>
        <v>720 West 173rd Street #59, New York, NY</v>
      </c>
    </row>
    <row r="534" spans="1:4" x14ac:dyDescent="0.25">
      <c r="A534" t="s">
        <v>891</v>
      </c>
      <c r="B534" t="s">
        <v>892</v>
      </c>
      <c r="C534" t="s">
        <v>893</v>
      </c>
      <c r="D534" t="str">
        <f t="shared" si="10"/>
        <v>PO Box 325, Manderson, SD</v>
      </c>
    </row>
    <row r="535" spans="1:4" x14ac:dyDescent="0.25">
      <c r="A535" t="s">
        <v>1594</v>
      </c>
      <c r="B535" t="s">
        <v>1595</v>
      </c>
      <c r="C535" t="s">
        <v>1596</v>
      </c>
      <c r="D535" t="str">
        <f t="shared" si="10"/>
        <v>226 Causeway Street, 5th Floor, Boston, MA</v>
      </c>
    </row>
    <row r="536" spans="1:4" x14ac:dyDescent="0.25">
      <c r="A536" t="s">
        <v>378</v>
      </c>
      <c r="B536" t="s">
        <v>323</v>
      </c>
      <c r="C536" t="s">
        <v>506</v>
      </c>
      <c r="D536" t="str">
        <f t="shared" si="10"/>
        <v>444 Lexington Pkwy S Unit 1, St. Paul, MN</v>
      </c>
    </row>
    <row r="537" spans="1:4" x14ac:dyDescent="0.25">
      <c r="A537" t="s">
        <v>379</v>
      </c>
      <c r="B537" t="s">
        <v>380</v>
      </c>
      <c r="C537" t="s">
        <v>502</v>
      </c>
      <c r="D537" t="str">
        <f t="shared" si="10"/>
        <v>PO Box 581254, Minneapolis, MN</v>
      </c>
    </row>
    <row r="538" spans="1:4" x14ac:dyDescent="0.25">
      <c r="A538" t="s">
        <v>1268</v>
      </c>
      <c r="B538" t="s">
        <v>1269</v>
      </c>
      <c r="C538" t="s">
        <v>502</v>
      </c>
      <c r="D538" t="str">
        <f t="shared" si="10"/>
        <v>3028 Oregon Ave. S, Minneapolis, MN</v>
      </c>
    </row>
    <row r="539" spans="1:4" x14ac:dyDescent="0.25">
      <c r="A539" t="s">
        <v>2178</v>
      </c>
      <c r="B539" t="s">
        <v>941</v>
      </c>
      <c r="C539" t="s">
        <v>506</v>
      </c>
      <c r="D539" t="str">
        <f t="shared" si="10"/>
        <v>550 Rice Street, St. Paul, MN</v>
      </c>
    </row>
    <row r="540" spans="1:4" x14ac:dyDescent="0.25">
      <c r="A540" t="s">
        <v>1270</v>
      </c>
      <c r="B540" t="s">
        <v>1271</v>
      </c>
      <c r="C540" t="s">
        <v>502</v>
      </c>
      <c r="D540" t="str">
        <f t="shared" si="10"/>
        <v>711 W Lake St Suite 101, Minneapolis, MN</v>
      </c>
    </row>
    <row r="541" spans="1:4" x14ac:dyDescent="0.25">
      <c r="A541" t="s">
        <v>1272</v>
      </c>
      <c r="B541" t="s">
        <v>1273</v>
      </c>
      <c r="C541" t="s">
        <v>502</v>
      </c>
      <c r="D541" t="str">
        <f t="shared" si="10"/>
        <v>3901 Chicago, Minneapolis, MN</v>
      </c>
    </row>
    <row r="542" spans="1:4" x14ac:dyDescent="0.25">
      <c r="A542" t="s">
        <v>1274</v>
      </c>
      <c r="B542" t="s">
        <v>1275</v>
      </c>
      <c r="C542" t="s">
        <v>506</v>
      </c>
      <c r="D542" t="str">
        <f t="shared" si="10"/>
        <v>1667 Snelling Ave N, St. Paul, MN</v>
      </c>
    </row>
    <row r="543" spans="1:4" x14ac:dyDescent="0.25">
      <c r="A543" t="s">
        <v>1276</v>
      </c>
      <c r="B543" t="s">
        <v>1277</v>
      </c>
      <c r="C543" t="s">
        <v>502</v>
      </c>
      <c r="D543" t="str">
        <f t="shared" si="10"/>
        <v>3400 Park Avenue, Minneapolis, MN</v>
      </c>
    </row>
    <row r="544" spans="1:4" x14ac:dyDescent="0.25">
      <c r="A544" t="s">
        <v>383</v>
      </c>
      <c r="B544" t="s">
        <v>384</v>
      </c>
      <c r="C544" t="s">
        <v>502</v>
      </c>
      <c r="D544" t="str">
        <f t="shared" si="10"/>
        <v>411 East 38th Street Suite 107, Minneapolis, MN</v>
      </c>
    </row>
    <row r="545" spans="1:4" x14ac:dyDescent="0.25">
      <c r="A545" t="s">
        <v>336</v>
      </c>
      <c r="B545" t="s">
        <v>337</v>
      </c>
      <c r="C545" t="s">
        <v>506</v>
      </c>
      <c r="D545" t="str">
        <f t="shared" si="10"/>
        <v>1961 Selby Avenue, St. Paul, MN</v>
      </c>
    </row>
    <row r="546" spans="1:4" x14ac:dyDescent="0.25">
      <c r="A546" t="s">
        <v>1278</v>
      </c>
      <c r="B546" t="s">
        <v>1279</v>
      </c>
      <c r="C546" t="s">
        <v>505</v>
      </c>
      <c r="D546" t="str">
        <f t="shared" si="10"/>
        <v>116 12th St S, Moorhead, MN</v>
      </c>
    </row>
    <row r="547" spans="1:4" x14ac:dyDescent="0.25">
      <c r="A547" t="s">
        <v>385</v>
      </c>
      <c r="B547" t="s">
        <v>386</v>
      </c>
      <c r="C547" t="s">
        <v>561</v>
      </c>
      <c r="D547" t="str">
        <f t="shared" si="10"/>
        <v>810 N. Milwaukee, Chicago, IL</v>
      </c>
    </row>
    <row r="548" spans="1:4" x14ac:dyDescent="0.25">
      <c r="A548" t="s">
        <v>387</v>
      </c>
      <c r="B548" t="s">
        <v>388</v>
      </c>
      <c r="C548" t="s">
        <v>502</v>
      </c>
      <c r="D548" t="str">
        <f t="shared" si="10"/>
        <v>763 East 41st Street, Minneapolis, MN</v>
      </c>
    </row>
    <row r="549" spans="1:4" x14ac:dyDescent="0.25">
      <c r="A549" t="s">
        <v>1281</v>
      </c>
      <c r="B549" t="s">
        <v>1282</v>
      </c>
      <c r="C549" t="s">
        <v>502</v>
      </c>
      <c r="D549" t="str">
        <f t="shared" si="10"/>
        <v>4105 Washburn Ave. N, Minneapolis, MN</v>
      </c>
    </row>
    <row r="550" spans="1:4" x14ac:dyDescent="0.25">
      <c r="A550" t="s">
        <v>775</v>
      </c>
      <c r="B550" t="s">
        <v>776</v>
      </c>
      <c r="C550" t="s">
        <v>549</v>
      </c>
      <c r="D550" t="str">
        <f t="shared" si="10"/>
        <v>1611 Telegraph Ave. Suite 1200, Oakland, CA</v>
      </c>
    </row>
    <row r="551" spans="1:4" x14ac:dyDescent="0.25">
      <c r="A551" t="s">
        <v>1283</v>
      </c>
      <c r="B551" t="s">
        <v>1284</v>
      </c>
      <c r="C551" t="s">
        <v>1285</v>
      </c>
      <c r="D551" t="str">
        <f t="shared" si="10"/>
        <v>26366 Redwing Ave, Shafer, MN</v>
      </c>
    </row>
    <row r="552" spans="1:4" x14ac:dyDescent="0.25">
      <c r="A552" t="s">
        <v>808</v>
      </c>
      <c r="B552" t="s">
        <v>809</v>
      </c>
      <c r="C552" t="s">
        <v>502</v>
      </c>
      <c r="D552" t="str">
        <f t="shared" si="10"/>
        <v>2801 21st Ave S Suite 132B, Minneapolis, MN</v>
      </c>
    </row>
    <row r="553" spans="1:4" x14ac:dyDescent="0.25">
      <c r="A553" t="s">
        <v>393</v>
      </c>
      <c r="B553" t="s">
        <v>350</v>
      </c>
      <c r="C553" t="s">
        <v>552</v>
      </c>
      <c r="D553" t="str">
        <f t="shared" si="10"/>
        <v>1783 Buerkle Circle, St Paul, MN</v>
      </c>
    </row>
    <row r="554" spans="1:4" x14ac:dyDescent="0.25">
      <c r="A554" t="s">
        <v>75</v>
      </c>
      <c r="B554" t="s">
        <v>1286</v>
      </c>
      <c r="C554" t="s">
        <v>502</v>
      </c>
      <c r="D554" t="str">
        <f t="shared" si="10"/>
        <v>2421 Bloomington Ave S, Minneapolis, MN</v>
      </c>
    </row>
    <row r="555" spans="1:4" x14ac:dyDescent="0.25">
      <c r="A555" t="s">
        <v>394</v>
      </c>
      <c r="B555" t="s">
        <v>395</v>
      </c>
      <c r="C555" t="s">
        <v>502</v>
      </c>
      <c r="D555" t="str">
        <f t="shared" si="10"/>
        <v>2321 11th Avenue South, Minneapolis, MN</v>
      </c>
    </row>
    <row r="556" spans="1:4" x14ac:dyDescent="0.25">
      <c r="A556" t="s">
        <v>394</v>
      </c>
      <c r="B556" t="s">
        <v>1287</v>
      </c>
      <c r="C556" t="s">
        <v>502</v>
      </c>
      <c r="D556" t="str">
        <f t="shared" si="10"/>
        <v>125 West Broadway Avenue, Suite 130, Minneapolis, MN</v>
      </c>
    </row>
    <row r="557" spans="1:4" x14ac:dyDescent="0.25">
      <c r="A557" t="s">
        <v>396</v>
      </c>
      <c r="B557" t="s">
        <v>397</v>
      </c>
      <c r="C557" t="s">
        <v>513</v>
      </c>
      <c r="D557" t="str">
        <f t="shared" si="10"/>
        <v>434 West 33rd Street, New York, NY</v>
      </c>
    </row>
    <row r="558" spans="1:4" x14ac:dyDescent="0.25">
      <c r="A558" t="s">
        <v>1498</v>
      </c>
      <c r="B558" t="s">
        <v>1499</v>
      </c>
      <c r="C558" t="s">
        <v>502</v>
      </c>
      <c r="D558" t="str">
        <f t="shared" si="10"/>
        <v>1200 Lagoon Ave, Minneapolis, MN</v>
      </c>
    </row>
    <row r="559" spans="1:4" x14ac:dyDescent="0.25">
      <c r="A559" t="s">
        <v>1288</v>
      </c>
      <c r="B559" t="s">
        <v>1289</v>
      </c>
      <c r="C559" t="s">
        <v>545</v>
      </c>
      <c r="D559" t="str">
        <f t="shared" si="10"/>
        <v>Fort Mason Center, Bldg. B, Suite 330, San Francisco, CA</v>
      </c>
    </row>
    <row r="560" spans="1:4" x14ac:dyDescent="0.25">
      <c r="A560" t="s">
        <v>1743</v>
      </c>
      <c r="B560" t="s">
        <v>1744</v>
      </c>
      <c r="C560" t="s">
        <v>1570</v>
      </c>
      <c r="D560" t="str">
        <f t="shared" si="10"/>
        <v>PO Box 416, Montegut, LA</v>
      </c>
    </row>
    <row r="561" spans="1:4" x14ac:dyDescent="0.25">
      <c r="A561" t="s">
        <v>902</v>
      </c>
      <c r="B561" t="s">
        <v>882</v>
      </c>
      <c r="C561" t="s">
        <v>883</v>
      </c>
      <c r="D561" t="str">
        <f t="shared" si="10"/>
        <v>PO Box 106, Essex, NY</v>
      </c>
    </row>
    <row r="562" spans="1:4" x14ac:dyDescent="0.25">
      <c r="A562" t="s">
        <v>1290</v>
      </c>
      <c r="B562" t="s">
        <v>1291</v>
      </c>
      <c r="C562" t="s">
        <v>572</v>
      </c>
      <c r="D562" t="str">
        <f t="shared" si="10"/>
        <v>200 White Eagle Drive, Ponca City, OK</v>
      </c>
    </row>
    <row r="563" spans="1:4" x14ac:dyDescent="0.25">
      <c r="A563" t="s">
        <v>1727</v>
      </c>
      <c r="B563" t="s">
        <v>1728</v>
      </c>
      <c r="C563" t="s">
        <v>1116</v>
      </c>
      <c r="D563" t="str">
        <f t="shared" ref="D563:D626" si="11">_xlfn.CONCAT(B563,", ",C563)</f>
        <v>PO Box 4964, Hilo, HI</v>
      </c>
    </row>
    <row r="564" spans="1:4" x14ac:dyDescent="0.25">
      <c r="A564" t="s">
        <v>863</v>
      </c>
      <c r="B564" t="s">
        <v>864</v>
      </c>
      <c r="C564" t="s">
        <v>549</v>
      </c>
      <c r="D564" t="str">
        <f t="shared" si="11"/>
        <v>2615 8th Ave, Oakland, CA</v>
      </c>
    </row>
    <row r="565" spans="1:4" x14ac:dyDescent="0.25">
      <c r="A565" t="s">
        <v>1292</v>
      </c>
      <c r="B565" t="s">
        <v>1293</v>
      </c>
      <c r="C565" t="s">
        <v>545</v>
      </c>
      <c r="D565" t="str">
        <f t="shared" si="11"/>
        <v>2940 16th Street,suite 301,, San Francisco, CA</v>
      </c>
    </row>
    <row r="566" spans="1:4" x14ac:dyDescent="0.25">
      <c r="A566" t="s">
        <v>1597</v>
      </c>
      <c r="B566" t="s">
        <v>1598</v>
      </c>
      <c r="C566" t="s">
        <v>1599</v>
      </c>
      <c r="D566" t="str">
        <f t="shared" si="11"/>
        <v>Self Enhancement Inc., 3920 North Kerby Ave, Portland, OR</v>
      </c>
    </row>
    <row r="567" spans="1:4" x14ac:dyDescent="0.25">
      <c r="A567" t="s">
        <v>1294</v>
      </c>
      <c r="B567" t="s">
        <v>1295</v>
      </c>
      <c r="C567" t="s">
        <v>504</v>
      </c>
      <c r="D567" t="str">
        <f t="shared" si="11"/>
        <v>6727 Noble Lane N, Brooklyn Center, MN</v>
      </c>
    </row>
    <row r="568" spans="1:4" x14ac:dyDescent="0.25">
      <c r="A568" t="s">
        <v>853</v>
      </c>
      <c r="B568" t="s">
        <v>854</v>
      </c>
      <c r="C568" t="s">
        <v>561</v>
      </c>
      <c r="D568" t="str">
        <f t="shared" si="11"/>
        <v>2631 N Sacramento #2, Chicago, IL</v>
      </c>
    </row>
    <row r="569" spans="1:4" x14ac:dyDescent="0.25">
      <c r="A569" t="s">
        <v>1296</v>
      </c>
      <c r="B569" t="s">
        <v>1297</v>
      </c>
      <c r="C569" t="s">
        <v>506</v>
      </c>
      <c r="D569" t="str">
        <f t="shared" si="11"/>
        <v>709 University Ave W Suite 234, St. Paul, MN</v>
      </c>
    </row>
    <row r="570" spans="1:4" x14ac:dyDescent="0.25">
      <c r="A570" t="s">
        <v>643</v>
      </c>
      <c r="B570" t="s">
        <v>644</v>
      </c>
      <c r="C570" t="s">
        <v>502</v>
      </c>
      <c r="D570" t="str">
        <f t="shared" si="11"/>
        <v>250 3rd Ave N Ste 625, Minneapolis, MN</v>
      </c>
    </row>
    <row r="571" spans="1:4" x14ac:dyDescent="0.25">
      <c r="A571" t="s">
        <v>1298</v>
      </c>
      <c r="B571" t="s">
        <v>1299</v>
      </c>
      <c r="C571" t="s">
        <v>502</v>
      </c>
      <c r="D571" t="str">
        <f t="shared" si="11"/>
        <v>P.O. Box 50143, Minneapolis, MN</v>
      </c>
    </row>
    <row r="572" spans="1:4" x14ac:dyDescent="0.25">
      <c r="A572" t="s">
        <v>67</v>
      </c>
      <c r="B572" t="s">
        <v>398</v>
      </c>
      <c r="C572" t="s">
        <v>566</v>
      </c>
      <c r="D572" t="str">
        <f t="shared" si="11"/>
        <v>202 West 3rd Street, Winona, MN</v>
      </c>
    </row>
    <row r="573" spans="1:4" x14ac:dyDescent="0.25">
      <c r="A573" t="s">
        <v>1600</v>
      </c>
      <c r="B573" t="s">
        <v>1601</v>
      </c>
      <c r="C573" t="s">
        <v>502</v>
      </c>
      <c r="D573" t="str">
        <f t="shared" si="11"/>
        <v>1035 East Franklin Ave., Minneapolis, MN</v>
      </c>
    </row>
    <row r="574" spans="1:4" x14ac:dyDescent="0.25">
      <c r="A574" t="s">
        <v>1300</v>
      </c>
      <c r="B574" t="s">
        <v>1229</v>
      </c>
      <c r="C574" t="s">
        <v>502</v>
      </c>
      <c r="D574" t="str">
        <f t="shared" si="11"/>
        <v>2211 Riverside Avenue CB2265, Minneapolis, MN</v>
      </c>
    </row>
    <row r="575" spans="1:4" x14ac:dyDescent="0.25">
      <c r="A575" t="s">
        <v>1301</v>
      </c>
      <c r="B575" t="s">
        <v>1302</v>
      </c>
      <c r="C575" t="s">
        <v>502</v>
      </c>
      <c r="D575" t="str">
        <f t="shared" si="11"/>
        <v>1418 Olive Ave N, Minneapolis, MN</v>
      </c>
    </row>
    <row r="576" spans="1:4" x14ac:dyDescent="0.25">
      <c r="A576" t="s">
        <v>1658</v>
      </c>
      <c r="B576" t="s">
        <v>1659</v>
      </c>
      <c r="C576" t="s">
        <v>502</v>
      </c>
      <c r="D576" t="str">
        <f t="shared" si="11"/>
        <v>2950 University Avenue SE, Minneapolis, MN</v>
      </c>
    </row>
    <row r="577" spans="1:4" x14ac:dyDescent="0.25">
      <c r="A577" t="s">
        <v>1303</v>
      </c>
      <c r="B577" t="s">
        <v>1304</v>
      </c>
      <c r="C577" t="s">
        <v>506</v>
      </c>
      <c r="D577" t="str">
        <f t="shared" si="11"/>
        <v>2395 University Ave W  Suite 201, St. Paul, MN</v>
      </c>
    </row>
    <row r="578" spans="1:4" x14ac:dyDescent="0.25">
      <c r="A578" t="s">
        <v>873</v>
      </c>
      <c r="B578" t="s">
        <v>874</v>
      </c>
      <c r="C578" t="s">
        <v>510</v>
      </c>
      <c r="D578" t="str">
        <f t="shared" si="11"/>
        <v>PO Box 1500, Hayward, WI</v>
      </c>
    </row>
    <row r="579" spans="1:4" x14ac:dyDescent="0.25">
      <c r="A579" t="s">
        <v>1305</v>
      </c>
      <c r="B579" t="s">
        <v>1306</v>
      </c>
      <c r="C579" t="s">
        <v>506</v>
      </c>
      <c r="D579" t="str">
        <f t="shared" si="11"/>
        <v>351 Kellogg Boulevard East, St. Paul, MN</v>
      </c>
    </row>
    <row r="580" spans="1:4" x14ac:dyDescent="0.25">
      <c r="A580" t="s">
        <v>1500</v>
      </c>
      <c r="B580" t="s">
        <v>1501</v>
      </c>
      <c r="C580" t="s">
        <v>1502</v>
      </c>
      <c r="D580" t="str">
        <f t="shared" si="11"/>
        <v>253 4th Ave N., Williams Lake, BC</v>
      </c>
    </row>
    <row r="581" spans="1:4" x14ac:dyDescent="0.25">
      <c r="A581" t="s">
        <v>1307</v>
      </c>
      <c r="B581" t="s">
        <v>1308</v>
      </c>
      <c r="C581" t="s">
        <v>502</v>
      </c>
      <c r="D581" t="str">
        <f t="shared" si="11"/>
        <v>C/O Peta Wakan Tipi, 1308 East Franklin Ave, Minneapolis, MN</v>
      </c>
    </row>
    <row r="582" spans="1:4" x14ac:dyDescent="0.25">
      <c r="A582" t="s">
        <v>1602</v>
      </c>
      <c r="B582" t="s">
        <v>1603</v>
      </c>
      <c r="C582" t="s">
        <v>528</v>
      </c>
      <c r="D582" t="str">
        <f t="shared" si="11"/>
        <v>1222 11th Street NW, Washington, DC</v>
      </c>
    </row>
    <row r="583" spans="1:4" x14ac:dyDescent="0.25">
      <c r="A583" t="s">
        <v>1309</v>
      </c>
      <c r="B583" t="s">
        <v>1310</v>
      </c>
      <c r="C583" t="s">
        <v>502</v>
      </c>
      <c r="D583" t="str">
        <f t="shared" si="11"/>
        <v>711 W. Lake St., #210, Minneapolis, MN</v>
      </c>
    </row>
    <row r="584" spans="1:4" x14ac:dyDescent="0.25">
      <c r="A584" t="s">
        <v>1311</v>
      </c>
      <c r="B584" t="s">
        <v>1312</v>
      </c>
      <c r="C584" t="s">
        <v>506</v>
      </c>
      <c r="D584" t="str">
        <f t="shared" si="11"/>
        <v>1821 W University Ave #109, St. Paul, MN</v>
      </c>
    </row>
    <row r="585" spans="1:4" x14ac:dyDescent="0.25">
      <c r="A585" t="s">
        <v>1313</v>
      </c>
      <c r="B585" t="s">
        <v>1314</v>
      </c>
      <c r="C585" t="s">
        <v>502</v>
      </c>
      <c r="D585" t="str">
        <f t="shared" si="11"/>
        <v>2021 East Hennepin Ave Suite 220, Minneapolis, MN</v>
      </c>
    </row>
    <row r="586" spans="1:4" x14ac:dyDescent="0.25">
      <c r="A586" t="s">
        <v>1503</v>
      </c>
      <c r="B586" t="s">
        <v>1504</v>
      </c>
      <c r="C586" t="s">
        <v>545</v>
      </c>
      <c r="D586" t="str">
        <f t="shared" si="11"/>
        <v>425 Bush Street Suite 300, San Francisco, CA</v>
      </c>
    </row>
    <row r="587" spans="1:4" x14ac:dyDescent="0.25">
      <c r="A587" t="s">
        <v>1604</v>
      </c>
      <c r="B587" t="s">
        <v>1605</v>
      </c>
      <c r="C587" t="s">
        <v>1606</v>
      </c>
      <c r="D587" t="str">
        <f t="shared" si="11"/>
        <v>844 Courtney Street (Second Floor), Victoria, BC</v>
      </c>
    </row>
    <row r="588" spans="1:4" x14ac:dyDescent="0.25">
      <c r="A588" t="s">
        <v>399</v>
      </c>
      <c r="B588" t="s">
        <v>400</v>
      </c>
      <c r="C588" t="s">
        <v>502</v>
      </c>
      <c r="D588" t="str">
        <f t="shared" si="11"/>
        <v>3415 Fremont Ave N, Minneapolis, MN</v>
      </c>
    </row>
    <row r="589" spans="1:4" x14ac:dyDescent="0.25">
      <c r="A589" t="s">
        <v>101</v>
      </c>
      <c r="B589" t="s">
        <v>824</v>
      </c>
      <c r="C589" t="s">
        <v>515</v>
      </c>
      <c r="D589" t="str">
        <f t="shared" si="11"/>
        <v>771 Raymond Avenue, Saint Paul, MN</v>
      </c>
    </row>
    <row r="590" spans="1:4" x14ac:dyDescent="0.25">
      <c r="A590" t="s">
        <v>401</v>
      </c>
      <c r="B590" t="s">
        <v>402</v>
      </c>
      <c r="C590" t="s">
        <v>506</v>
      </c>
      <c r="D590" t="str">
        <f t="shared" si="11"/>
        <v>1669 Arcard St Ste 2, St. Paul, MN</v>
      </c>
    </row>
    <row r="591" spans="1:4" x14ac:dyDescent="0.25">
      <c r="A591" t="s">
        <v>1315</v>
      </c>
      <c r="B591" t="s">
        <v>1316</v>
      </c>
      <c r="C591" t="s">
        <v>1317</v>
      </c>
      <c r="D591" t="str">
        <f t="shared" si="11"/>
        <v>88385 Pike Rd HWY, 13, Bayfield, WI</v>
      </c>
    </row>
    <row r="592" spans="1:4" x14ac:dyDescent="0.25">
      <c r="A592" t="s">
        <v>1318</v>
      </c>
      <c r="B592" t="s">
        <v>1319</v>
      </c>
      <c r="C592" t="s">
        <v>1320</v>
      </c>
      <c r="D592" t="str">
        <f t="shared" si="11"/>
        <v>PO Box 588, Red Lake, MN</v>
      </c>
    </row>
    <row r="593" spans="1:4" x14ac:dyDescent="0.25">
      <c r="A593" t="s">
        <v>77</v>
      </c>
      <c r="B593" t="s">
        <v>1321</v>
      </c>
      <c r="C593" t="s">
        <v>502</v>
      </c>
      <c r="D593" s="57" t="s">
        <v>2180</v>
      </c>
    </row>
    <row r="594" spans="1:4" x14ac:dyDescent="0.25">
      <c r="A594" t="s">
        <v>403</v>
      </c>
      <c r="B594" t="s">
        <v>404</v>
      </c>
      <c r="C594" t="s">
        <v>502</v>
      </c>
      <c r="D594" t="str">
        <f t="shared" si="11"/>
        <v>PO Box 3801, Minneapolis, MN</v>
      </c>
    </row>
    <row r="595" spans="1:4" x14ac:dyDescent="0.25">
      <c r="A595" t="s">
        <v>889</v>
      </c>
      <c r="B595" t="s">
        <v>890</v>
      </c>
      <c r="C595" t="s">
        <v>513</v>
      </c>
      <c r="D595" t="str">
        <f t="shared" si="11"/>
        <v>220 E 23rd Street Suite 509, New York, NY</v>
      </c>
    </row>
    <row r="596" spans="1:4" x14ac:dyDescent="0.25">
      <c r="A596" t="s">
        <v>57</v>
      </c>
      <c r="B596" t="s">
        <v>405</v>
      </c>
      <c r="C596" t="s">
        <v>525</v>
      </c>
      <c r="D596" t="s">
        <v>2179</v>
      </c>
    </row>
    <row r="597" spans="1:4" x14ac:dyDescent="0.25">
      <c r="A597" t="s">
        <v>1505</v>
      </c>
      <c r="B597" t="s">
        <v>1506</v>
      </c>
      <c r="C597" t="s">
        <v>888</v>
      </c>
      <c r="D597" t="str">
        <f t="shared" si="11"/>
        <v>1504 Bridge SW, Albuquerque, NM</v>
      </c>
    </row>
    <row r="598" spans="1:4" x14ac:dyDescent="0.25">
      <c r="A598" t="s">
        <v>1322</v>
      </c>
      <c r="B598" t="s">
        <v>1323</v>
      </c>
      <c r="C598" t="s">
        <v>506</v>
      </c>
      <c r="D598" t="str">
        <f t="shared" si="11"/>
        <v>626 Selby Avenue, St. Paul, MN</v>
      </c>
    </row>
    <row r="599" spans="1:4" x14ac:dyDescent="0.25">
      <c r="A599" t="s">
        <v>144</v>
      </c>
      <c r="B599" t="s">
        <v>145</v>
      </c>
      <c r="C599" t="s">
        <v>502</v>
      </c>
      <c r="D599" t="str">
        <f t="shared" si="11"/>
        <v>3405 Chicago Ave S, Minneapolis, MN</v>
      </c>
    </row>
    <row r="600" spans="1:4" x14ac:dyDescent="0.25">
      <c r="A600" t="s">
        <v>91</v>
      </c>
      <c r="B600" t="s">
        <v>1651</v>
      </c>
      <c r="C600" t="s">
        <v>765</v>
      </c>
      <c r="D600" t="str">
        <f t="shared" si="11"/>
        <v>702 3rd Ave S, Virginia, MN</v>
      </c>
    </row>
    <row r="601" spans="1:4" x14ac:dyDescent="0.25">
      <c r="A601" t="s">
        <v>1324</v>
      </c>
      <c r="B601" t="s">
        <v>1325</v>
      </c>
      <c r="C601" t="s">
        <v>506</v>
      </c>
      <c r="D601" t="str">
        <f t="shared" si="11"/>
        <v>2148 Eleanor Ave., St. Paul, MN</v>
      </c>
    </row>
    <row r="602" spans="1:4" x14ac:dyDescent="0.25">
      <c r="A602" t="s">
        <v>1326</v>
      </c>
      <c r="B602" t="s">
        <v>1327</v>
      </c>
      <c r="C602" t="s">
        <v>502</v>
      </c>
      <c r="D602" t="str">
        <f t="shared" si="11"/>
        <v>3145 5th Ave. S, Minneapolis, MN</v>
      </c>
    </row>
    <row r="603" spans="1:4" x14ac:dyDescent="0.25">
      <c r="A603" t="s">
        <v>1328</v>
      </c>
      <c r="B603" t="s">
        <v>1329</v>
      </c>
      <c r="C603" t="s">
        <v>506</v>
      </c>
      <c r="D603" t="str">
        <f t="shared" si="11"/>
        <v>1509 Marhall Avenue, St. Paul, MN</v>
      </c>
    </row>
    <row r="604" spans="1:4" x14ac:dyDescent="0.25">
      <c r="A604" t="s">
        <v>407</v>
      </c>
      <c r="B604" t="s">
        <v>408</v>
      </c>
      <c r="C604" t="s">
        <v>515</v>
      </c>
      <c r="D604" t="str">
        <f t="shared" si="11"/>
        <v>1188 Hubbard Avenue, Saint Paul, MN</v>
      </c>
    </row>
    <row r="605" spans="1:4" x14ac:dyDescent="0.25">
      <c r="A605" t="s">
        <v>409</v>
      </c>
      <c r="B605" t="s">
        <v>410</v>
      </c>
      <c r="C605" t="s">
        <v>502</v>
      </c>
      <c r="D605" t="str">
        <f t="shared" si="11"/>
        <v>1200 West Broadway Avenue, Suite 110, Minneapolis, MN</v>
      </c>
    </row>
    <row r="606" spans="1:4" x14ac:dyDescent="0.25">
      <c r="A606" t="s">
        <v>908</v>
      </c>
      <c r="B606" t="s">
        <v>907</v>
      </c>
      <c r="C606" t="s">
        <v>502</v>
      </c>
      <c r="D606" t="str">
        <f t="shared" si="11"/>
        <v>2801 21st Ave S Ste 100, Minneapolis, MN</v>
      </c>
    </row>
    <row r="607" spans="1:4" x14ac:dyDescent="0.25">
      <c r="A607" t="s">
        <v>1607</v>
      </c>
      <c r="B607" t="s">
        <v>1608</v>
      </c>
      <c r="C607" t="s">
        <v>570</v>
      </c>
      <c r="D607" t="str">
        <f t="shared" si="11"/>
        <v>Centerstone, 722 18th Ave, Seattle, WA</v>
      </c>
    </row>
    <row r="608" spans="1:4" x14ac:dyDescent="0.25">
      <c r="A608" t="s">
        <v>1609</v>
      </c>
      <c r="B608" t="s">
        <v>1610</v>
      </c>
      <c r="C608" t="s">
        <v>570</v>
      </c>
      <c r="D608" t="str">
        <f t="shared" si="11"/>
        <v>510B Maryland Ave S, Seattle, WA</v>
      </c>
    </row>
    <row r="609" spans="1:4" x14ac:dyDescent="0.25">
      <c r="A609" t="s">
        <v>1507</v>
      </c>
      <c r="B609" t="s">
        <v>1508</v>
      </c>
      <c r="C609" t="s">
        <v>1509</v>
      </c>
      <c r="D609" t="str">
        <f t="shared" si="11"/>
        <v>690 Ska-HirschDrive, Chase, BC</v>
      </c>
    </row>
    <row r="610" spans="1:4" x14ac:dyDescent="0.25">
      <c r="A610" t="s">
        <v>411</v>
      </c>
      <c r="B610" t="s">
        <v>412</v>
      </c>
      <c r="C610" t="s">
        <v>502</v>
      </c>
      <c r="D610" t="str">
        <f t="shared" si="11"/>
        <v>4233 Chicago Avenuew South, Minneapolis, MN</v>
      </c>
    </row>
    <row r="611" spans="1:4" x14ac:dyDescent="0.25">
      <c r="A611" t="s">
        <v>1510</v>
      </c>
      <c r="B611" t="s">
        <v>1511</v>
      </c>
      <c r="C611" t="s">
        <v>545</v>
      </c>
      <c r="D611" t="str">
        <f t="shared" si="11"/>
        <v>PO Box 40597, San Francisco, CA</v>
      </c>
    </row>
    <row r="612" spans="1:4" x14ac:dyDescent="0.25">
      <c r="A612" t="s">
        <v>413</v>
      </c>
      <c r="B612" t="s">
        <v>414</v>
      </c>
      <c r="C612" t="s">
        <v>567</v>
      </c>
      <c r="D612" t="str">
        <f t="shared" si="11"/>
        <v>5640 N Danube Road, Fridley, MN</v>
      </c>
    </row>
    <row r="613" spans="1:4" x14ac:dyDescent="0.25">
      <c r="A613" t="s">
        <v>415</v>
      </c>
      <c r="B613" t="s">
        <v>416</v>
      </c>
      <c r="C613" t="s">
        <v>502</v>
      </c>
      <c r="D613" t="str">
        <f t="shared" si="11"/>
        <v>2323  32nd Ave. S., Minneapolis, MN</v>
      </c>
    </row>
    <row r="614" spans="1:4" x14ac:dyDescent="0.25">
      <c r="A614" t="s">
        <v>1679</v>
      </c>
      <c r="B614" t="s">
        <v>1680</v>
      </c>
      <c r="C614" t="s">
        <v>502</v>
      </c>
      <c r="D614" t="str">
        <f t="shared" si="11"/>
        <v>2323 E Franklin Ave, Minneapolis, MN</v>
      </c>
    </row>
    <row r="615" spans="1:4" x14ac:dyDescent="0.25">
      <c r="A615" t="s">
        <v>81</v>
      </c>
      <c r="B615" t="s">
        <v>1611</v>
      </c>
      <c r="C615" t="s">
        <v>506</v>
      </c>
      <c r="D615" t="str">
        <f t="shared" si="11"/>
        <v>995 University Ave. W #215, St. Paul, MN</v>
      </c>
    </row>
    <row r="616" spans="1:4" x14ac:dyDescent="0.25">
      <c r="A616" t="s">
        <v>770</v>
      </c>
      <c r="B616" t="s">
        <v>771</v>
      </c>
      <c r="C616" t="s">
        <v>513</v>
      </c>
      <c r="D616" t="str">
        <f t="shared" si="11"/>
        <v>121 W. 27th Street., Suite 805, New York, NY</v>
      </c>
    </row>
    <row r="617" spans="1:4" x14ac:dyDescent="0.25">
      <c r="A617" t="s">
        <v>440</v>
      </c>
      <c r="B617" t="s">
        <v>441</v>
      </c>
      <c r="C617" t="s">
        <v>576</v>
      </c>
      <c r="D617" t="str">
        <f t="shared" si="11"/>
        <v>1732 Rosewood Ave S, Maplewood, MN</v>
      </c>
    </row>
    <row r="618" spans="1:4" x14ac:dyDescent="0.25">
      <c r="A618" t="s">
        <v>417</v>
      </c>
      <c r="B618" t="s">
        <v>418</v>
      </c>
      <c r="C618" t="s">
        <v>568</v>
      </c>
      <c r="D618" t="str">
        <f t="shared" si="11"/>
        <v>PO Box 3810, Shiprock, NM</v>
      </c>
    </row>
    <row r="619" spans="1:4" x14ac:dyDescent="0.25">
      <c r="A619" t="s">
        <v>1512</v>
      </c>
      <c r="B619" t="s">
        <v>1513</v>
      </c>
      <c r="C619" t="s">
        <v>1514</v>
      </c>
      <c r="D619" t="str">
        <f t="shared" si="11"/>
        <v>PO Box 7701, Shonto, AZ</v>
      </c>
    </row>
    <row r="620" spans="1:4" x14ac:dyDescent="0.25">
      <c r="A620" t="s">
        <v>1330</v>
      </c>
      <c r="B620" t="s">
        <v>1331</v>
      </c>
      <c r="C620" t="s">
        <v>506</v>
      </c>
      <c r="D620" t="str">
        <f t="shared" si="11"/>
        <v>712 University Ave., St. Paul, MN</v>
      </c>
    </row>
    <row r="621" spans="1:4" x14ac:dyDescent="0.25">
      <c r="A621" t="s">
        <v>726</v>
      </c>
      <c r="B621" t="s">
        <v>727</v>
      </c>
      <c r="C621" t="s">
        <v>502</v>
      </c>
      <c r="D621" t="str">
        <f t="shared" si="11"/>
        <v>3333 North 4th Street, Minneapolis, MN</v>
      </c>
    </row>
    <row r="622" spans="1:4" x14ac:dyDescent="0.25">
      <c r="A622" t="s">
        <v>421</v>
      </c>
      <c r="B622" t="s">
        <v>422</v>
      </c>
      <c r="C622" t="s">
        <v>569</v>
      </c>
      <c r="D622" t="str">
        <f t="shared" si="11"/>
        <v>PO Box 226, Fargo, ND</v>
      </c>
    </row>
    <row r="623" spans="1:4" x14ac:dyDescent="0.25">
      <c r="A623" t="s">
        <v>1332</v>
      </c>
      <c r="B623" t="s">
        <v>1333</v>
      </c>
      <c r="C623" t="s">
        <v>911</v>
      </c>
      <c r="D623" t="str">
        <f t="shared" si="11"/>
        <v>1237 Ralph David Abernathy SW, Atlanta, GA</v>
      </c>
    </row>
    <row r="624" spans="1:4" x14ac:dyDescent="0.25">
      <c r="A624" t="s">
        <v>425</v>
      </c>
      <c r="B624" t="s">
        <v>426</v>
      </c>
      <c r="C624" t="s">
        <v>570</v>
      </c>
      <c r="D624" t="str">
        <f t="shared" si="11"/>
        <v>1904 Third Ave Ste 806, Seattle, WA</v>
      </c>
    </row>
    <row r="625" spans="1:4" x14ac:dyDescent="0.25">
      <c r="A625" t="s">
        <v>1334</v>
      </c>
      <c r="B625" t="s">
        <v>1335</v>
      </c>
      <c r="C625" t="s">
        <v>502</v>
      </c>
      <c r="D625" t="str">
        <f t="shared" si="11"/>
        <v>2525 East Franklin Ave Ste 100, Minneapolis, MN</v>
      </c>
    </row>
    <row r="626" spans="1:4" x14ac:dyDescent="0.25">
      <c r="A626" t="s">
        <v>8</v>
      </c>
      <c r="B626" t="s">
        <v>427</v>
      </c>
      <c r="C626" t="s">
        <v>502</v>
      </c>
      <c r="D626" t="str">
        <f t="shared" si="11"/>
        <v>2323 Eleventh Avenue South, Suite 260, Minneapolis, MN</v>
      </c>
    </row>
    <row r="627" spans="1:4" x14ac:dyDescent="0.25">
      <c r="A627" t="s">
        <v>58</v>
      </c>
      <c r="B627" t="s">
        <v>428</v>
      </c>
      <c r="C627" t="s">
        <v>502</v>
      </c>
      <c r="D627" t="str">
        <f t="shared" ref="D627:D690" si="12">_xlfn.CONCAT(B627,", ",C627)</f>
        <v>1516 East Lake Street #11, Minneapolis, MN</v>
      </c>
    </row>
    <row r="628" spans="1:4" x14ac:dyDescent="0.25">
      <c r="A628" t="s">
        <v>20</v>
      </c>
      <c r="B628" t="s">
        <v>429</v>
      </c>
      <c r="C628" t="s">
        <v>548</v>
      </c>
      <c r="D628" t="str">
        <f t="shared" si="12"/>
        <v>227 E Main St #200, Mankato, MN</v>
      </c>
    </row>
    <row r="629" spans="1:4" x14ac:dyDescent="0.25">
      <c r="A629" t="s">
        <v>430</v>
      </c>
      <c r="B629" t="s">
        <v>431</v>
      </c>
      <c r="C629" t="s">
        <v>571</v>
      </c>
      <c r="D629" t="str">
        <f t="shared" si="12"/>
        <v>94 N. Maddy St  P.O. Box 99, McGregor, MN</v>
      </c>
    </row>
    <row r="630" spans="1:4" x14ac:dyDescent="0.25">
      <c r="A630" t="s">
        <v>728</v>
      </c>
      <c r="B630" t="s">
        <v>729</v>
      </c>
      <c r="C630" t="s">
        <v>502</v>
      </c>
      <c r="D630" t="str">
        <f t="shared" si="12"/>
        <v>1170 15th Ave SE, Suite 302, Minneapolis, MN</v>
      </c>
    </row>
    <row r="631" spans="1:4" x14ac:dyDescent="0.25">
      <c r="A631" t="s">
        <v>1612</v>
      </c>
      <c r="B631" t="s">
        <v>1613</v>
      </c>
      <c r="C631" t="s">
        <v>581</v>
      </c>
      <c r="D631" t="str">
        <f t="shared" si="12"/>
        <v>1415 W Highway 54 Suite 101, Durham, NC</v>
      </c>
    </row>
    <row r="632" spans="1:4" x14ac:dyDescent="0.25">
      <c r="A632" t="s">
        <v>772</v>
      </c>
      <c r="B632" t="s">
        <v>773</v>
      </c>
      <c r="C632" t="s">
        <v>774</v>
      </c>
      <c r="D632" t="str">
        <f t="shared" si="12"/>
        <v>400 Washington Ave., Montgomery, AL</v>
      </c>
    </row>
    <row r="633" spans="1:4" x14ac:dyDescent="0.25">
      <c r="A633" t="s">
        <v>662</v>
      </c>
      <c r="B633" t="s">
        <v>663</v>
      </c>
      <c r="C633" t="s">
        <v>502</v>
      </c>
      <c r="D633" t="str">
        <f t="shared" si="12"/>
        <v>4500 Clinton Ave, Minneapolis, MN</v>
      </c>
    </row>
    <row r="634" spans="1:4" x14ac:dyDescent="0.25">
      <c r="A634" t="s">
        <v>851</v>
      </c>
      <c r="B634" t="s">
        <v>852</v>
      </c>
      <c r="C634" t="s">
        <v>526</v>
      </c>
      <c r="D634" t="str">
        <f t="shared" si="12"/>
        <v>PO Box 5058, Gallup, NM</v>
      </c>
    </row>
    <row r="635" spans="1:4" x14ac:dyDescent="0.25">
      <c r="A635" t="s">
        <v>1733</v>
      </c>
      <c r="B635" t="s">
        <v>1734</v>
      </c>
      <c r="C635" t="s">
        <v>1735</v>
      </c>
      <c r="D635" t="str">
        <f t="shared" si="12"/>
        <v>20 A Bartolo Baca Road, Tijeras, NM</v>
      </c>
    </row>
    <row r="636" spans="1:4" x14ac:dyDescent="0.25">
      <c r="A636" t="s">
        <v>432</v>
      </c>
      <c r="B636" t="s">
        <v>433</v>
      </c>
      <c r="C636" t="s">
        <v>572</v>
      </c>
      <c r="D636" t="str">
        <f t="shared" si="12"/>
        <v>537 N 12th, Ponca City, OK</v>
      </c>
    </row>
    <row r="637" spans="1:4" x14ac:dyDescent="0.25">
      <c r="A637" t="s">
        <v>1336</v>
      </c>
      <c r="B637" t="s">
        <v>1337</v>
      </c>
      <c r="C637" t="s">
        <v>502</v>
      </c>
      <c r="D637" t="str">
        <f t="shared" si="12"/>
        <v>4432 Chicago Avenue South, Minneapolis, MN</v>
      </c>
    </row>
    <row r="638" spans="1:4" x14ac:dyDescent="0.25">
      <c r="A638" t="s">
        <v>1338</v>
      </c>
      <c r="B638" t="s">
        <v>1339</v>
      </c>
      <c r="C638" t="s">
        <v>506</v>
      </c>
      <c r="D638" t="str">
        <f t="shared" si="12"/>
        <v>890 Cromwell Ave, St. Paul, MN</v>
      </c>
    </row>
    <row r="639" spans="1:4" x14ac:dyDescent="0.25">
      <c r="A639" t="s">
        <v>730</v>
      </c>
      <c r="B639" t="s">
        <v>731</v>
      </c>
      <c r="C639" t="s">
        <v>531</v>
      </c>
      <c r="D639" t="str">
        <f t="shared" si="12"/>
        <v>PO Box 7042, St. Cloud, MN</v>
      </c>
    </row>
    <row r="640" spans="1:4" x14ac:dyDescent="0.25">
      <c r="A640" t="s">
        <v>1736</v>
      </c>
      <c r="B640" t="s">
        <v>1737</v>
      </c>
      <c r="C640" t="s">
        <v>531</v>
      </c>
      <c r="D640" t="str">
        <f t="shared" si="12"/>
        <v>720 4th Ave S, St. Cloud, MN</v>
      </c>
    </row>
    <row r="641" spans="1:4" x14ac:dyDescent="0.25">
      <c r="A641" t="s">
        <v>657</v>
      </c>
      <c r="B641" t="s">
        <v>658</v>
      </c>
      <c r="C641" t="s">
        <v>659</v>
      </c>
      <c r="D641" t="str">
        <f t="shared" si="12"/>
        <v>3121 Groveland School Rd., Wayzata, MN</v>
      </c>
    </row>
    <row r="642" spans="1:4" x14ac:dyDescent="0.25">
      <c r="A642" t="s">
        <v>1340</v>
      </c>
      <c r="B642" t="s">
        <v>1341</v>
      </c>
      <c r="C642" t="s">
        <v>506</v>
      </c>
      <c r="D642" t="str">
        <f t="shared" si="12"/>
        <v>1509 Marshall Ave., St. Paul, MN</v>
      </c>
    </row>
    <row r="643" spans="1:4" x14ac:dyDescent="0.25">
      <c r="A643" t="s">
        <v>1741</v>
      </c>
      <c r="B643" t="s">
        <v>1742</v>
      </c>
      <c r="C643" t="s">
        <v>506</v>
      </c>
      <c r="D643" t="str">
        <f t="shared" si="12"/>
        <v>345 Plato Blvd, Suite 625, St. Paul, MN</v>
      </c>
    </row>
    <row r="644" spans="1:4" x14ac:dyDescent="0.25">
      <c r="A644" t="s">
        <v>1342</v>
      </c>
      <c r="B644" t="s">
        <v>1343</v>
      </c>
      <c r="C644" t="s">
        <v>506</v>
      </c>
      <c r="D644" t="str">
        <f t="shared" si="12"/>
        <v>55  5th Street East, Suite 202, St. Paul, MN</v>
      </c>
    </row>
    <row r="645" spans="1:4" x14ac:dyDescent="0.25">
      <c r="A645" t="s">
        <v>1344</v>
      </c>
      <c r="B645" t="s">
        <v>1345</v>
      </c>
      <c r="C645" t="s">
        <v>502</v>
      </c>
      <c r="D645" t="str">
        <f t="shared" si="12"/>
        <v>2309 Nicollet Avenue South, Minneapolis, MN</v>
      </c>
    </row>
    <row r="646" spans="1:4" x14ac:dyDescent="0.25">
      <c r="A646" t="s">
        <v>971</v>
      </c>
      <c r="B646" t="s">
        <v>972</v>
      </c>
      <c r="C646" t="s">
        <v>502</v>
      </c>
      <c r="D646" t="str">
        <f t="shared" si="12"/>
        <v>1611 Park Ave. S Floor 2, Minneapolis, MN</v>
      </c>
    </row>
    <row r="647" spans="1:4" x14ac:dyDescent="0.25">
      <c r="A647" t="s">
        <v>802</v>
      </c>
      <c r="B647" t="s">
        <v>803</v>
      </c>
      <c r="C647" t="s">
        <v>502</v>
      </c>
      <c r="D647" t="str">
        <f t="shared" si="12"/>
        <v>4500 Clinton Ave S, Minneapolis, MN</v>
      </c>
    </row>
    <row r="648" spans="1:4" x14ac:dyDescent="0.25">
      <c r="A648" t="s">
        <v>434</v>
      </c>
      <c r="B648" t="s">
        <v>435</v>
      </c>
      <c r="C648" t="s">
        <v>573</v>
      </c>
      <c r="D648" t="str">
        <f t="shared" si="12"/>
        <v>957 Ozighaw Rd, Cloquet, MN</v>
      </c>
    </row>
    <row r="649" spans="1:4" x14ac:dyDescent="0.25">
      <c r="A649" t="s">
        <v>1346</v>
      </c>
      <c r="B649" t="s">
        <v>1347</v>
      </c>
      <c r="C649" t="s">
        <v>506</v>
      </c>
      <c r="D649" t="str">
        <f t="shared" si="12"/>
        <v>909B Selby Avenue, St. Paul, MN</v>
      </c>
    </row>
    <row r="650" spans="1:4" x14ac:dyDescent="0.25">
      <c r="A650" t="s">
        <v>1721</v>
      </c>
      <c r="B650" t="s">
        <v>1722</v>
      </c>
      <c r="C650" t="s">
        <v>1723</v>
      </c>
      <c r="D650" t="str">
        <f t="shared" si="12"/>
        <v>1751 North Ash, Wichita, KS</v>
      </c>
    </row>
    <row r="651" spans="1:4" x14ac:dyDescent="0.25">
      <c r="A651" t="s">
        <v>898</v>
      </c>
      <c r="B651" t="s">
        <v>899</v>
      </c>
      <c r="C651" t="s">
        <v>893</v>
      </c>
      <c r="D651" t="str">
        <f t="shared" si="12"/>
        <v>PO Box 430, Manderson, SD</v>
      </c>
    </row>
    <row r="652" spans="1:4" x14ac:dyDescent="0.25">
      <c r="A652" t="s">
        <v>436</v>
      </c>
      <c r="B652" t="s">
        <v>437</v>
      </c>
      <c r="C652" t="s">
        <v>574</v>
      </c>
      <c r="D652" t="str">
        <f t="shared" si="12"/>
        <v>C/o Kristen Brock-Petroshius 3688 East 14th Street, Long Beach, CA</v>
      </c>
    </row>
    <row r="653" spans="1:4" x14ac:dyDescent="0.25">
      <c r="A653" t="s">
        <v>1515</v>
      </c>
      <c r="B653" t="s">
        <v>1516</v>
      </c>
      <c r="C653" t="s">
        <v>509</v>
      </c>
      <c r="D653" t="str">
        <f t="shared" si="12"/>
        <v>PO Box 3745, Tucson, AZ</v>
      </c>
    </row>
    <row r="654" spans="1:4" x14ac:dyDescent="0.25">
      <c r="A654" t="s">
        <v>1614</v>
      </c>
      <c r="B654" t="s">
        <v>1615</v>
      </c>
      <c r="C654" t="s">
        <v>1616</v>
      </c>
      <c r="D654" t="str">
        <f t="shared" si="12"/>
        <v>Tacoma Urban League, 2550 South Yakima Ave, Tacoma, WA</v>
      </c>
    </row>
    <row r="655" spans="1:4" x14ac:dyDescent="0.25">
      <c r="A655" t="s">
        <v>630</v>
      </c>
      <c r="B655" t="s">
        <v>631</v>
      </c>
      <c r="C655" t="s">
        <v>506</v>
      </c>
      <c r="D655" t="str">
        <f t="shared" si="12"/>
        <v>705 Raymond Ave #100, St. Paul, MN</v>
      </c>
    </row>
    <row r="656" spans="1:4" x14ac:dyDescent="0.25">
      <c r="A656" t="s">
        <v>1348</v>
      </c>
      <c r="B656" t="s">
        <v>1349</v>
      </c>
      <c r="C656" t="s">
        <v>502</v>
      </c>
      <c r="D656" t="str">
        <f t="shared" si="12"/>
        <v>3702 East Lake St, Minneapolis, MN</v>
      </c>
    </row>
    <row r="657" spans="1:4" x14ac:dyDescent="0.25">
      <c r="A657" t="s">
        <v>1350</v>
      </c>
      <c r="B657" t="s">
        <v>1351</v>
      </c>
      <c r="C657" t="s">
        <v>1352</v>
      </c>
      <c r="D657" t="str">
        <f t="shared" si="12"/>
        <v>P.O. Box 1389, 1021 Salazar Road, Taos, NM</v>
      </c>
    </row>
    <row r="658" spans="1:4" x14ac:dyDescent="0.25">
      <c r="A658" t="s">
        <v>1517</v>
      </c>
      <c r="B658" t="s">
        <v>1518</v>
      </c>
      <c r="C658" t="s">
        <v>1519</v>
      </c>
      <c r="D658" t="str">
        <f t="shared" si="12"/>
        <v>HCR 3, Box 89, Gettysburg, SD</v>
      </c>
    </row>
    <row r="659" spans="1:4" x14ac:dyDescent="0.25">
      <c r="A659" t="s">
        <v>1353</v>
      </c>
      <c r="B659" t="s">
        <v>1354</v>
      </c>
      <c r="C659" t="s">
        <v>506</v>
      </c>
      <c r="D659" t="str">
        <f t="shared" si="12"/>
        <v>Baker Community Center, 209 W Page Street  Suite 208, St. Paul, MN</v>
      </c>
    </row>
    <row r="660" spans="1:4" x14ac:dyDescent="0.25">
      <c r="A660" t="s">
        <v>1355</v>
      </c>
      <c r="B660" t="s">
        <v>1356</v>
      </c>
      <c r="C660" t="s">
        <v>1357</v>
      </c>
      <c r="D660" t="str">
        <f t="shared" si="12"/>
        <v>4059 Vernon Ave. S, St. Louis Park, MN</v>
      </c>
    </row>
    <row r="661" spans="1:4" x14ac:dyDescent="0.25">
      <c r="A661" t="s">
        <v>1724</v>
      </c>
      <c r="B661" t="s">
        <v>1725</v>
      </c>
      <c r="C661" t="s">
        <v>1726</v>
      </c>
      <c r="D661" t="str">
        <f t="shared" si="12"/>
        <v>1714 Fortview Road, Ste 104, Austin, TX</v>
      </c>
    </row>
    <row r="662" spans="1:4" x14ac:dyDescent="0.25">
      <c r="A662" t="s">
        <v>942</v>
      </c>
      <c r="B662" t="s">
        <v>943</v>
      </c>
      <c r="C662" t="s">
        <v>506</v>
      </c>
      <c r="D662" t="str">
        <f t="shared" si="12"/>
        <v>114 Payne Ave, St. Paul, MN</v>
      </c>
    </row>
    <row r="663" spans="1:4" x14ac:dyDescent="0.25">
      <c r="A663" t="s">
        <v>1662</v>
      </c>
      <c r="B663" t="s">
        <v>1663</v>
      </c>
      <c r="C663" t="s">
        <v>502</v>
      </c>
      <c r="D663" t="str">
        <f t="shared" si="12"/>
        <v>3808 Nicollet Avenue, Minneapolis, MN</v>
      </c>
    </row>
    <row r="664" spans="1:4" x14ac:dyDescent="0.25">
      <c r="A664" t="s">
        <v>969</v>
      </c>
      <c r="B664" t="s">
        <v>970</v>
      </c>
      <c r="C664" t="s">
        <v>502</v>
      </c>
      <c r="D664" t="str">
        <f t="shared" si="12"/>
        <v>2419 Nicollet Ave S, Minneapolis, MN</v>
      </c>
    </row>
    <row r="665" spans="1:4" x14ac:dyDescent="0.25">
      <c r="A665" t="s">
        <v>442</v>
      </c>
      <c r="B665" t="s">
        <v>443</v>
      </c>
      <c r="C665" t="s">
        <v>515</v>
      </c>
      <c r="D665" t="str">
        <f t="shared" si="12"/>
        <v>875 Summit Ave, Saint Paul, MN</v>
      </c>
    </row>
    <row r="666" spans="1:4" x14ac:dyDescent="0.25">
      <c r="A666" t="s">
        <v>112</v>
      </c>
      <c r="B666" t="s">
        <v>444</v>
      </c>
      <c r="C666" t="s">
        <v>502</v>
      </c>
      <c r="D666" t="str">
        <f t="shared" si="12"/>
        <v>1111 West 22nd Street, Minneapolis, MN</v>
      </c>
    </row>
    <row r="667" spans="1:4" x14ac:dyDescent="0.25">
      <c r="A667" t="s">
        <v>445</v>
      </c>
      <c r="B667" t="s">
        <v>446</v>
      </c>
      <c r="C667" t="s">
        <v>577</v>
      </c>
      <c r="D667" t="str">
        <f t="shared" si="12"/>
        <v>PO Box 71, Garyowen, MT</v>
      </c>
    </row>
    <row r="668" spans="1:4" x14ac:dyDescent="0.25">
      <c r="A668" t="s">
        <v>1666</v>
      </c>
      <c r="B668" t="s">
        <v>1667</v>
      </c>
      <c r="C668" t="s">
        <v>531</v>
      </c>
      <c r="D668" t="str">
        <f t="shared" si="12"/>
        <v>101 7th Avenue South, Suite #208, St. Cloud, MN</v>
      </c>
    </row>
    <row r="669" spans="1:4" x14ac:dyDescent="0.25">
      <c r="A669" t="s">
        <v>616</v>
      </c>
      <c r="B669" t="s">
        <v>617</v>
      </c>
      <c r="C669" t="s">
        <v>502</v>
      </c>
      <c r="D669" t="str">
        <f t="shared" si="12"/>
        <v>1508 E Franklin Ave Ste 1, Minneapolis, MN</v>
      </c>
    </row>
    <row r="670" spans="1:4" x14ac:dyDescent="0.25">
      <c r="A670" t="s">
        <v>616</v>
      </c>
      <c r="B670" t="s">
        <v>1001</v>
      </c>
      <c r="C670" t="s">
        <v>502</v>
      </c>
      <c r="D670" t="str">
        <f t="shared" si="12"/>
        <v>1508 E Franklin Ave Suite 102, Minneapolis, MN</v>
      </c>
    </row>
    <row r="671" spans="1:4" x14ac:dyDescent="0.25">
      <c r="A671" t="s">
        <v>447</v>
      </c>
      <c r="B671" t="s">
        <v>448</v>
      </c>
      <c r="C671" t="s">
        <v>506</v>
      </c>
      <c r="D671" t="str">
        <f t="shared" si="12"/>
        <v>c/o Springboard for the Arts 308 Prince Street, #270, St. Paul, MN</v>
      </c>
    </row>
    <row r="672" spans="1:4" x14ac:dyDescent="0.25">
      <c r="A672" t="s">
        <v>449</v>
      </c>
      <c r="B672" t="s">
        <v>450</v>
      </c>
      <c r="C672" t="s">
        <v>522</v>
      </c>
      <c r="D672" t="str">
        <f t="shared" si="12"/>
        <v>8501 54th Ave. N., New Hope, MN</v>
      </c>
    </row>
    <row r="673" spans="1:4" x14ac:dyDescent="0.25">
      <c r="A673" t="s">
        <v>782</v>
      </c>
      <c r="B673" t="s">
        <v>783</v>
      </c>
      <c r="C673" t="s">
        <v>502</v>
      </c>
      <c r="D673" t="str">
        <f t="shared" si="12"/>
        <v>5925 Nicollet Avenue South, Minneapolis, MN</v>
      </c>
    </row>
    <row r="674" spans="1:4" x14ac:dyDescent="0.25">
      <c r="A674" t="s">
        <v>451</v>
      </c>
      <c r="B674" t="s">
        <v>452</v>
      </c>
      <c r="C674" t="s">
        <v>509</v>
      </c>
      <c r="D674" t="str">
        <f t="shared" si="12"/>
        <v>Alliance for Global Justice 225 East 26th Street, Suite 1, Tucson, AZ</v>
      </c>
    </row>
    <row r="675" spans="1:4" x14ac:dyDescent="0.25">
      <c r="A675" t="s">
        <v>59</v>
      </c>
      <c r="B675" t="s">
        <v>1280</v>
      </c>
      <c r="C675" t="s">
        <v>505</v>
      </c>
      <c r="D675" t="str">
        <f t="shared" si="12"/>
        <v>1517 4th Ave S., Moorhead, MN</v>
      </c>
    </row>
    <row r="676" spans="1:4" x14ac:dyDescent="0.25">
      <c r="A676" t="s">
        <v>69</v>
      </c>
      <c r="B676" t="s">
        <v>816</v>
      </c>
      <c r="C676" t="s">
        <v>502</v>
      </c>
      <c r="D676" t="str">
        <f t="shared" si="12"/>
        <v>600 - 18th Avenue North, Suite 1, Minneapolis, MN</v>
      </c>
    </row>
    <row r="677" spans="1:4" x14ac:dyDescent="0.25">
      <c r="A677" t="s">
        <v>453</v>
      </c>
      <c r="B677" t="s">
        <v>454</v>
      </c>
      <c r="C677" t="s">
        <v>578</v>
      </c>
      <c r="D677" t="str">
        <f t="shared" si="12"/>
        <v>6711 Lincoln Dr., Philadelphia, PA</v>
      </c>
    </row>
    <row r="678" spans="1:4" x14ac:dyDescent="0.25">
      <c r="A678" t="s">
        <v>1583</v>
      </c>
      <c r="B678" t="s">
        <v>1584</v>
      </c>
      <c r="C678" t="s">
        <v>528</v>
      </c>
      <c r="D678" t="str">
        <f t="shared" si="12"/>
        <v>1325 Massachusetts Ave NW Suite 600, Washington, DC</v>
      </c>
    </row>
    <row r="679" spans="1:4" x14ac:dyDescent="0.25">
      <c r="A679" t="s">
        <v>113</v>
      </c>
      <c r="B679" t="s">
        <v>455</v>
      </c>
      <c r="C679" t="s">
        <v>502</v>
      </c>
      <c r="D679" t="str">
        <f t="shared" si="12"/>
        <v>8014 Olson Memorial Hwy #153, Minneapolis, MN</v>
      </c>
    </row>
    <row r="680" spans="1:4" x14ac:dyDescent="0.25">
      <c r="A680" t="s">
        <v>1406</v>
      </c>
      <c r="B680" t="s">
        <v>1407</v>
      </c>
      <c r="C680" t="s">
        <v>506</v>
      </c>
      <c r="D680" t="str">
        <f t="shared" si="12"/>
        <v>2402 University Ave W #600, St. Paul, MN</v>
      </c>
    </row>
    <row r="681" spans="1:4" x14ac:dyDescent="0.25">
      <c r="A681" t="s">
        <v>1426</v>
      </c>
      <c r="B681" t="s">
        <v>1427</v>
      </c>
      <c r="C681" t="s">
        <v>506</v>
      </c>
      <c r="D681" t="str">
        <f t="shared" si="12"/>
        <v>2588 Rice Street, St. Paul, MN</v>
      </c>
    </row>
    <row r="682" spans="1:4" x14ac:dyDescent="0.25">
      <c r="A682" t="s">
        <v>1701</v>
      </c>
      <c r="B682" t="s">
        <v>1702</v>
      </c>
      <c r="C682" t="s">
        <v>531</v>
      </c>
      <c r="D682" t="str">
        <f t="shared" si="12"/>
        <v>1030 4th Street SE P.O. Box 1042, St. Cloud, MN</v>
      </c>
    </row>
    <row r="683" spans="1:4" x14ac:dyDescent="0.25">
      <c r="A683" t="s">
        <v>1358</v>
      </c>
      <c r="B683" t="s">
        <v>1359</v>
      </c>
      <c r="C683" t="s">
        <v>1360</v>
      </c>
      <c r="D683" t="str">
        <f t="shared" si="12"/>
        <v>2640 Queensland Lane North, Plymouth, MN</v>
      </c>
    </row>
    <row r="684" spans="1:4" x14ac:dyDescent="0.25">
      <c r="A684" t="s">
        <v>2011</v>
      </c>
      <c r="B684" t="s">
        <v>791</v>
      </c>
      <c r="C684" t="s">
        <v>792</v>
      </c>
      <c r="D684" t="str">
        <f t="shared" si="12"/>
        <v>501 north dale, St paul, MN</v>
      </c>
    </row>
    <row r="685" spans="1:4" x14ac:dyDescent="0.25">
      <c r="A685" t="s">
        <v>456</v>
      </c>
      <c r="B685" t="s">
        <v>457</v>
      </c>
      <c r="C685" t="s">
        <v>542</v>
      </c>
      <c r="D685" t="str">
        <f t="shared" si="12"/>
        <v>c/o Humanitarian Services for Children of Vietnam 2965 Spring Lake Road SW, Prior Lake, MN</v>
      </c>
    </row>
    <row r="686" spans="1:4" x14ac:dyDescent="0.25">
      <c r="A686" t="s">
        <v>372</v>
      </c>
      <c r="B686" t="s">
        <v>373</v>
      </c>
      <c r="C686" t="s">
        <v>502</v>
      </c>
      <c r="D686" t="str">
        <f t="shared" si="12"/>
        <v>2418 Plymouth Ave N, Minneapolis, MN</v>
      </c>
    </row>
    <row r="687" spans="1:4" x14ac:dyDescent="0.25">
      <c r="A687" t="s">
        <v>837</v>
      </c>
      <c r="B687" t="s">
        <v>838</v>
      </c>
      <c r="C687" t="s">
        <v>502</v>
      </c>
      <c r="D687" t="str">
        <f t="shared" si="12"/>
        <v>2801 21st Ave S, Ste 132F, Minneapolis, MN</v>
      </c>
    </row>
    <row r="688" spans="1:4" x14ac:dyDescent="0.25">
      <c r="A688" t="s">
        <v>1361</v>
      </c>
      <c r="B688" t="s">
        <v>1362</v>
      </c>
      <c r="C688" t="s">
        <v>1363</v>
      </c>
      <c r="D688" t="str">
        <f t="shared" si="12"/>
        <v>HC 61, Box 320 , Winslow, AZ</v>
      </c>
    </row>
    <row r="689" spans="1:4" x14ac:dyDescent="0.25">
      <c r="A689" t="s">
        <v>90</v>
      </c>
      <c r="B689" t="s">
        <v>458</v>
      </c>
      <c r="C689" t="s">
        <v>563</v>
      </c>
      <c r="D689" t="str">
        <f t="shared" si="12"/>
        <v>P.O. Box 25, Callaway, MN</v>
      </c>
    </row>
    <row r="690" spans="1:4" x14ac:dyDescent="0.25">
      <c r="A690" t="s">
        <v>1520</v>
      </c>
      <c r="B690" t="s">
        <v>1521</v>
      </c>
      <c r="C690" t="s">
        <v>1522</v>
      </c>
      <c r="D690" t="str">
        <f t="shared" si="12"/>
        <v>PO Box 31267, Santa Fe, NM</v>
      </c>
    </row>
    <row r="691" spans="1:4" x14ac:dyDescent="0.25">
      <c r="A691" t="s">
        <v>459</v>
      </c>
      <c r="B691" t="s">
        <v>460</v>
      </c>
      <c r="C691" t="s">
        <v>506</v>
      </c>
      <c r="D691" t="str">
        <f t="shared" ref="D691:D754" si="13">_xlfn.CONCAT(B691,", ",C691)</f>
        <v>165 North Dunlap Street, St. Paul, MN</v>
      </c>
    </row>
    <row r="692" spans="1:4" x14ac:dyDescent="0.25">
      <c r="A692" t="s">
        <v>1617</v>
      </c>
      <c r="B692" t="s">
        <v>1618</v>
      </c>
      <c r="C692" t="s">
        <v>506</v>
      </c>
      <c r="D692" t="str">
        <f t="shared" si="13"/>
        <v>1081 Laurel Ave, St. Paul, MN</v>
      </c>
    </row>
    <row r="693" spans="1:4" x14ac:dyDescent="0.25">
      <c r="A693" t="s">
        <v>1364</v>
      </c>
      <c r="B693" t="s">
        <v>1365</v>
      </c>
      <c r="C693" t="s">
        <v>502</v>
      </c>
      <c r="D693" t="str">
        <f t="shared" si="13"/>
        <v>PO Box 7625, Minneapolis, MN</v>
      </c>
    </row>
    <row r="694" spans="1:4" x14ac:dyDescent="0.25">
      <c r="A694" t="s">
        <v>1366</v>
      </c>
      <c r="B694" t="s">
        <v>1367</v>
      </c>
      <c r="C694" t="s">
        <v>569</v>
      </c>
      <c r="D694" t="str">
        <f t="shared" si="13"/>
        <v>650 NP Avenue #110, PO Box 5630, Fargo, ND</v>
      </c>
    </row>
    <row r="695" spans="1:4" x14ac:dyDescent="0.25">
      <c r="A695" t="s">
        <v>1368</v>
      </c>
      <c r="B695" t="s">
        <v>1369</v>
      </c>
      <c r="C695" t="s">
        <v>1370</v>
      </c>
      <c r="D695" t="str">
        <f t="shared" si="13"/>
        <v>P.O Box 307, Sooke, BC</v>
      </c>
    </row>
    <row r="696" spans="1:4" x14ac:dyDescent="0.25">
      <c r="A696" t="s">
        <v>1371</v>
      </c>
      <c r="B696" t="s">
        <v>1372</v>
      </c>
      <c r="C696" t="s">
        <v>502</v>
      </c>
      <c r="D696" t="str">
        <f t="shared" si="13"/>
        <v>3501 Chicago Ave S., Minneapolis, MN</v>
      </c>
    </row>
    <row r="697" spans="1:4" x14ac:dyDescent="0.25">
      <c r="A697" t="s">
        <v>614</v>
      </c>
      <c r="B697" t="s">
        <v>615</v>
      </c>
      <c r="C697" t="s">
        <v>515</v>
      </c>
      <c r="D697" t="str">
        <f t="shared" si="13"/>
        <v>1821 University Ave W Ste N184, Saint Paul, MN</v>
      </c>
    </row>
    <row r="698" spans="1:4" x14ac:dyDescent="0.25">
      <c r="A698" t="s">
        <v>1373</v>
      </c>
      <c r="B698" t="s">
        <v>1374</v>
      </c>
      <c r="C698" t="s">
        <v>502</v>
      </c>
      <c r="D698" t="str">
        <f t="shared" si="13"/>
        <v>2600 E Franklin Ave, Suite #2, Minneapolis, MN</v>
      </c>
    </row>
    <row r="699" spans="1:4" x14ac:dyDescent="0.25">
      <c r="A699" t="s">
        <v>1523</v>
      </c>
      <c r="B699" t="s">
        <v>1524</v>
      </c>
      <c r="C699" t="s">
        <v>506</v>
      </c>
      <c r="D699" t="str">
        <f t="shared" si="13"/>
        <v>C/O AEDA 379 University Ave Suite 213, St. Paul, MN</v>
      </c>
    </row>
    <row r="700" spans="1:4" x14ac:dyDescent="0.25">
      <c r="A700" t="s">
        <v>1730</v>
      </c>
      <c r="B700" t="s">
        <v>1731</v>
      </c>
      <c r="C700" t="s">
        <v>1732</v>
      </c>
      <c r="D700" t="str">
        <f t="shared" si="13"/>
        <v>701 6th Ave N, Saskatoon, SK</v>
      </c>
    </row>
    <row r="701" spans="1:4" x14ac:dyDescent="0.25">
      <c r="A701" t="s">
        <v>461</v>
      </c>
      <c r="B701" t="s">
        <v>462</v>
      </c>
      <c r="C701" t="s">
        <v>579</v>
      </c>
      <c r="D701" t="str">
        <f t="shared" si="13"/>
        <v>232 2nd Avenue North, White Park, MN</v>
      </c>
    </row>
    <row r="702" spans="1:4" x14ac:dyDescent="0.25">
      <c r="A702" t="s">
        <v>1525</v>
      </c>
      <c r="B702" t="s">
        <v>1526</v>
      </c>
      <c r="C702" t="s">
        <v>1527</v>
      </c>
      <c r="D702" t="str">
        <f t="shared" si="13"/>
        <v>20986 HWY. 1, Golden Meadow, LA</v>
      </c>
    </row>
    <row r="703" spans="1:4" x14ac:dyDescent="0.25">
      <c r="A703" t="s">
        <v>1375</v>
      </c>
      <c r="B703" t="s">
        <v>1376</v>
      </c>
      <c r="C703" t="s">
        <v>506</v>
      </c>
      <c r="D703" t="str">
        <f t="shared" si="13"/>
        <v>1245 Carroll Ave 100 MSC, St. Paul, MN</v>
      </c>
    </row>
    <row r="704" spans="1:4" x14ac:dyDescent="0.25">
      <c r="A704" t="s">
        <v>621</v>
      </c>
      <c r="B704" t="s">
        <v>622</v>
      </c>
      <c r="C704" t="s">
        <v>550</v>
      </c>
      <c r="D704" t="str">
        <f t="shared" si="13"/>
        <v>Center for Public Ministry 3000 Fifth Street Northwest, New Brighton, MN</v>
      </c>
    </row>
    <row r="705" spans="1:4" x14ac:dyDescent="0.25">
      <c r="A705" t="s">
        <v>463</v>
      </c>
      <c r="B705" t="s">
        <v>464</v>
      </c>
      <c r="C705" t="s">
        <v>528</v>
      </c>
      <c r="D705" t="str">
        <f t="shared" si="13"/>
        <v>1900 L St. NW Suite 900, Washington, DC</v>
      </c>
    </row>
    <row r="706" spans="1:4" x14ac:dyDescent="0.25">
      <c r="A706" t="s">
        <v>1377</v>
      </c>
      <c r="B706" t="s">
        <v>1378</v>
      </c>
      <c r="C706" t="s">
        <v>502</v>
      </c>
      <c r="D706" t="str">
        <f t="shared" si="13"/>
        <v>3400 Dupont Ave S, Minneapolis, MN</v>
      </c>
    </row>
    <row r="707" spans="1:4" x14ac:dyDescent="0.25">
      <c r="A707" t="s">
        <v>1379</v>
      </c>
      <c r="B707" t="s">
        <v>1380</v>
      </c>
      <c r="C707" t="s">
        <v>502</v>
      </c>
      <c r="D707" t="str">
        <f t="shared" si="13"/>
        <v>1520 10th Ave S, #2, Minneapolis, MN</v>
      </c>
    </row>
    <row r="708" spans="1:4" x14ac:dyDescent="0.25">
      <c r="A708" t="s">
        <v>1715</v>
      </c>
      <c r="B708" t="s">
        <v>1716</v>
      </c>
      <c r="C708" t="s">
        <v>521</v>
      </c>
      <c r="D708" t="str">
        <f t="shared" si="13"/>
        <v>111 South Broadway, 300 University Square, Rochester, MN</v>
      </c>
    </row>
    <row r="709" spans="1:4" x14ac:dyDescent="0.25">
      <c r="A709" t="s">
        <v>2230</v>
      </c>
      <c r="B709" t="s">
        <v>465</v>
      </c>
      <c r="C709" t="s">
        <v>502</v>
      </c>
      <c r="D709" t="str">
        <f t="shared" si="13"/>
        <v>McNamara Alumni Center 200 Oak Street SE, Suite 500, Minneapolis, MN</v>
      </c>
    </row>
    <row r="710" spans="1:4" x14ac:dyDescent="0.25">
      <c r="A710" t="s">
        <v>466</v>
      </c>
      <c r="B710" t="s">
        <v>467</v>
      </c>
      <c r="C710" t="s">
        <v>515</v>
      </c>
      <c r="D710" t="str">
        <f t="shared" si="13"/>
        <v>2115 Summit Avenue, Saint Paul, MN</v>
      </c>
    </row>
    <row r="711" spans="1:4" x14ac:dyDescent="0.25">
      <c r="A711" t="s">
        <v>468</v>
      </c>
      <c r="B711" t="s">
        <v>469</v>
      </c>
      <c r="C711" t="s">
        <v>506</v>
      </c>
      <c r="D711" t="str">
        <f t="shared" si="13"/>
        <v>1420 Eckles Avenue, 90 Coffey Hall, St. Paul, MN</v>
      </c>
    </row>
    <row r="712" spans="1:4" x14ac:dyDescent="0.25">
      <c r="A712" t="s">
        <v>732</v>
      </c>
      <c r="B712" t="s">
        <v>733</v>
      </c>
      <c r="C712" t="s">
        <v>734</v>
      </c>
      <c r="D712" t="str">
        <f t="shared" si="13"/>
        <v>3900 Jackson Street NE, Columbia Heights, MN</v>
      </c>
    </row>
    <row r="713" spans="1:4" x14ac:dyDescent="0.25">
      <c r="A713" t="s">
        <v>1381</v>
      </c>
      <c r="B713" t="s">
        <v>1382</v>
      </c>
      <c r="C713" t="s">
        <v>506</v>
      </c>
      <c r="D713" t="str">
        <f t="shared" si="13"/>
        <v>1821 University Ave. W. Suite S-137, St. Paul, MN</v>
      </c>
    </row>
    <row r="714" spans="1:4" x14ac:dyDescent="0.25">
      <c r="A714" t="s">
        <v>470</v>
      </c>
      <c r="B714" t="s">
        <v>471</v>
      </c>
      <c r="C714" t="s">
        <v>580</v>
      </c>
      <c r="D714" t="str">
        <f t="shared" si="13"/>
        <v>463 Maria Avenue, Suite 207, Saitn Paul, MN</v>
      </c>
    </row>
    <row r="715" spans="1:4" x14ac:dyDescent="0.25">
      <c r="A715" t="s">
        <v>1383</v>
      </c>
      <c r="B715" t="s">
        <v>1384</v>
      </c>
      <c r="C715" t="s">
        <v>502</v>
      </c>
      <c r="D715" t="str">
        <f t="shared" si="13"/>
        <v>6042 West Broadway, Minneapolis, MN</v>
      </c>
    </row>
    <row r="716" spans="1:4" x14ac:dyDescent="0.25">
      <c r="A716" t="s">
        <v>23</v>
      </c>
      <c r="B716" t="s">
        <v>473</v>
      </c>
      <c r="C716" t="s">
        <v>515</v>
      </c>
      <c r="D716" t="str">
        <f t="shared" si="13"/>
        <v>501 North Dale St, Saint Paul, MN</v>
      </c>
    </row>
    <row r="717" spans="1:4" x14ac:dyDescent="0.25">
      <c r="A717" t="s">
        <v>474</v>
      </c>
      <c r="B717" t="s">
        <v>475</v>
      </c>
      <c r="C717" t="s">
        <v>581</v>
      </c>
      <c r="D717" t="str">
        <f t="shared" si="13"/>
        <v>6 Coriander Ct, Durham, NC</v>
      </c>
    </row>
    <row r="718" spans="1:4" x14ac:dyDescent="0.25">
      <c r="A718" t="s">
        <v>868</v>
      </c>
      <c r="B718" t="s">
        <v>869</v>
      </c>
      <c r="C718" t="s">
        <v>548</v>
      </c>
      <c r="D718" t="str">
        <f t="shared" si="13"/>
        <v>218 Centennial Student Union, Mankato, MN</v>
      </c>
    </row>
    <row r="719" spans="1:4" x14ac:dyDescent="0.25">
      <c r="A719" t="s">
        <v>1385</v>
      </c>
      <c r="B719" t="s">
        <v>1386</v>
      </c>
      <c r="C719" t="s">
        <v>1387</v>
      </c>
      <c r="D719" t="str">
        <f t="shared" si="13"/>
        <v>P.O. Box 151, Long Lake, MN</v>
      </c>
    </row>
    <row r="720" spans="1:4" x14ac:dyDescent="0.25">
      <c r="A720" t="s">
        <v>1388</v>
      </c>
      <c r="B720" t="s">
        <v>1211</v>
      </c>
      <c r="C720" t="s">
        <v>506</v>
      </c>
      <c r="D720" t="str">
        <f t="shared" si="13"/>
        <v>1821 University Ave, Suite N-184, St. Paul, MN</v>
      </c>
    </row>
    <row r="721" spans="1:4" x14ac:dyDescent="0.25">
      <c r="A721" t="s">
        <v>11</v>
      </c>
      <c r="B721" t="s">
        <v>1262</v>
      </c>
      <c r="C721" t="s">
        <v>502</v>
      </c>
      <c r="D721" t="str">
        <f t="shared" si="13"/>
        <v>2525 E. Franklin Ave., Ste. 301, Minneapolis, MN</v>
      </c>
    </row>
    <row r="722" spans="1:4" x14ac:dyDescent="0.25">
      <c r="A722" t="s">
        <v>476</v>
      </c>
      <c r="B722" t="s">
        <v>477</v>
      </c>
      <c r="C722" t="s">
        <v>582</v>
      </c>
      <c r="D722" t="str">
        <f t="shared" si="13"/>
        <v>420 N Pattee Street Apt 11, Missoula, MT</v>
      </c>
    </row>
    <row r="723" spans="1:4" x14ac:dyDescent="0.25">
      <c r="A723" t="s">
        <v>44</v>
      </c>
      <c r="B723" t="s">
        <v>1389</v>
      </c>
      <c r="C723" t="s">
        <v>510</v>
      </c>
      <c r="D723" t="str">
        <f t="shared" si="13"/>
        <v>8575N Trepania Rd, Hayward, WI</v>
      </c>
    </row>
    <row r="724" spans="1:4" x14ac:dyDescent="0.25">
      <c r="A724" t="s">
        <v>845</v>
      </c>
      <c r="B724" t="s">
        <v>846</v>
      </c>
      <c r="C724" t="s">
        <v>847</v>
      </c>
      <c r="D724" t="str">
        <f t="shared" si="13"/>
        <v>2847 Waialae Avenue, HI</v>
      </c>
    </row>
    <row r="725" spans="1:4" x14ac:dyDescent="0.25">
      <c r="A725" t="s">
        <v>796</v>
      </c>
      <c r="B725" t="s">
        <v>797</v>
      </c>
      <c r="C725" t="s">
        <v>502</v>
      </c>
      <c r="D725" t="str">
        <f t="shared" si="13"/>
        <v>125 West Broadway Ave, Suite 130, Minneapolis, MN</v>
      </c>
    </row>
    <row r="726" spans="1:4" x14ac:dyDescent="0.25">
      <c r="A726" t="s">
        <v>610</v>
      </c>
      <c r="B726" t="s">
        <v>611</v>
      </c>
      <c r="C726" t="s">
        <v>502</v>
      </c>
      <c r="D726" t="str">
        <f t="shared" si="13"/>
        <v>2421 Chicago Ave., Minneapolis, MN</v>
      </c>
    </row>
    <row r="727" spans="1:4" x14ac:dyDescent="0.25">
      <c r="A727" t="s">
        <v>480</v>
      </c>
      <c r="B727" t="s">
        <v>481</v>
      </c>
      <c r="C727" t="s">
        <v>528</v>
      </c>
      <c r="D727" t="str">
        <f t="shared" si="13"/>
        <v>1226 Vermont Avenue NW, Washington, DC</v>
      </c>
    </row>
    <row r="728" spans="1:4" x14ac:dyDescent="0.25">
      <c r="A728" t="s">
        <v>1390</v>
      </c>
      <c r="B728" t="s">
        <v>1391</v>
      </c>
      <c r="C728" t="s">
        <v>502</v>
      </c>
      <c r="D728" t="str">
        <f t="shared" si="13"/>
        <v>608 2nd Ave. S.  #465 Northstar East, Minneapolis, MN</v>
      </c>
    </row>
    <row r="729" spans="1:4" x14ac:dyDescent="0.25">
      <c r="A729" t="s">
        <v>32</v>
      </c>
      <c r="B729" t="s">
        <v>482</v>
      </c>
      <c r="C729" t="s">
        <v>502</v>
      </c>
      <c r="D729" t="str">
        <f t="shared" si="13"/>
        <v>3548 Bryant Avenue South, Minneapolis, MN</v>
      </c>
    </row>
    <row r="730" spans="1:4" x14ac:dyDescent="0.25">
      <c r="A730" t="s">
        <v>483</v>
      </c>
      <c r="B730" t="s">
        <v>484</v>
      </c>
      <c r="C730" t="s">
        <v>583</v>
      </c>
      <c r="D730" t="str">
        <f t="shared" si="13"/>
        <v>256 West Fulton Road, West Fulton, NY</v>
      </c>
    </row>
    <row r="731" spans="1:4" x14ac:dyDescent="0.25">
      <c r="A731" t="s">
        <v>12</v>
      </c>
      <c r="B731" t="s">
        <v>337</v>
      </c>
      <c r="C731" t="s">
        <v>515</v>
      </c>
      <c r="D731" t="str">
        <f t="shared" si="13"/>
        <v>1961 Selby Avenue, Saint Paul, MN</v>
      </c>
    </row>
    <row r="732" spans="1:4" x14ac:dyDescent="0.25">
      <c r="A732" t="s">
        <v>1619</v>
      </c>
      <c r="B732" t="s">
        <v>1620</v>
      </c>
      <c r="C732" t="s">
        <v>502</v>
      </c>
      <c r="D732" t="str">
        <f t="shared" si="13"/>
        <v>3705 Park Center Boulevard, Minneapolis, MN</v>
      </c>
    </row>
    <row r="733" spans="1:4" x14ac:dyDescent="0.25">
      <c r="A733" t="s">
        <v>1392</v>
      </c>
      <c r="B733" t="s">
        <v>1393</v>
      </c>
      <c r="C733" t="s">
        <v>1044</v>
      </c>
      <c r="D733" t="str">
        <f t="shared" si="13"/>
        <v>971 W. Windlake Ave, Milwaukee, WI</v>
      </c>
    </row>
    <row r="734" spans="1:4" x14ac:dyDescent="0.25">
      <c r="A734" t="s">
        <v>1394</v>
      </c>
      <c r="B734" t="s">
        <v>1395</v>
      </c>
      <c r="C734" t="s">
        <v>1396</v>
      </c>
      <c r="D734" t="str">
        <f t="shared" si="13"/>
        <v>308 4th Ave NW, Austin, MN</v>
      </c>
    </row>
    <row r="735" spans="1:4" x14ac:dyDescent="0.25">
      <c r="A735" t="s">
        <v>106</v>
      </c>
      <c r="B735" t="s">
        <v>937</v>
      </c>
      <c r="C735" t="s">
        <v>502</v>
      </c>
      <c r="D735" t="str">
        <f t="shared" si="13"/>
        <v>PO Box 7266 4200 Cedar Ave, Minneapolis, MN</v>
      </c>
    </row>
    <row r="736" spans="1:4" x14ac:dyDescent="0.25">
      <c r="A736" t="s">
        <v>1397</v>
      </c>
      <c r="B736" t="s">
        <v>1398</v>
      </c>
      <c r="C736" t="s">
        <v>1399</v>
      </c>
      <c r="D736" t="str">
        <f t="shared" si="13"/>
        <v>25362  230th  Street, Verndale, MN</v>
      </c>
    </row>
    <row r="737" spans="1:4" x14ac:dyDescent="0.25">
      <c r="A737" t="s">
        <v>1621</v>
      </c>
      <c r="B737" t="s">
        <v>1622</v>
      </c>
      <c r="C737" t="s">
        <v>506</v>
      </c>
      <c r="D737" t="str">
        <f t="shared" si="13"/>
        <v>2446 University Ave W Suite 170, St. Paul, MN</v>
      </c>
    </row>
    <row r="738" spans="1:4" x14ac:dyDescent="0.25">
      <c r="A738" t="s">
        <v>1400</v>
      </c>
      <c r="B738" t="s">
        <v>1401</v>
      </c>
      <c r="C738" t="s">
        <v>502</v>
      </c>
      <c r="D738" t="str">
        <f t="shared" si="13"/>
        <v>1808 Riverside Ave. S. #206, Minneapolis, MN</v>
      </c>
    </row>
    <row r="739" spans="1:4" x14ac:dyDescent="0.25">
      <c r="A739" t="s">
        <v>487</v>
      </c>
      <c r="B739" t="s">
        <v>488</v>
      </c>
      <c r="C739" t="s">
        <v>502</v>
      </c>
      <c r="D739" t="str">
        <f t="shared" si="13"/>
        <v>1011 West Broadway Ave Ste 202, Minneapolis, MN</v>
      </c>
    </row>
    <row r="740" spans="1:4" x14ac:dyDescent="0.25">
      <c r="A740" t="s">
        <v>1402</v>
      </c>
      <c r="B740" t="s">
        <v>1403</v>
      </c>
      <c r="C740" t="s">
        <v>506</v>
      </c>
      <c r="D740" t="str">
        <f t="shared" si="13"/>
        <v>127 Winifred St W, St. Paul, MN</v>
      </c>
    </row>
    <row r="741" spans="1:4" x14ac:dyDescent="0.25">
      <c r="A741" t="s">
        <v>33</v>
      </c>
      <c r="B741" t="s">
        <v>183</v>
      </c>
      <c r="C741" t="s">
        <v>515</v>
      </c>
      <c r="D741" t="str">
        <f t="shared" si="13"/>
        <v>209 Page Street, Saint Paul, MN</v>
      </c>
    </row>
    <row r="742" spans="1:4" x14ac:dyDescent="0.25">
      <c r="A742" t="s">
        <v>896</v>
      </c>
      <c r="B742" t="s">
        <v>897</v>
      </c>
      <c r="C742" t="s">
        <v>537</v>
      </c>
      <c r="D742" t="str">
        <f t="shared" si="13"/>
        <v>PO Box 3662, Durango, CO</v>
      </c>
    </row>
    <row r="743" spans="1:4" x14ac:dyDescent="0.25">
      <c r="A743" t="s">
        <v>491</v>
      </c>
      <c r="B743" t="s">
        <v>492</v>
      </c>
      <c r="C743" t="s">
        <v>585</v>
      </c>
      <c r="D743" t="str">
        <f t="shared" si="13"/>
        <v>PO Box 418, White Earth, MN</v>
      </c>
    </row>
    <row r="744" spans="1:4" x14ac:dyDescent="0.25">
      <c r="A744" t="s">
        <v>34</v>
      </c>
      <c r="B744" t="s">
        <v>836</v>
      </c>
      <c r="C744" t="s">
        <v>563</v>
      </c>
      <c r="D744" t="str">
        <f t="shared" si="13"/>
        <v>PO Box 97 607 Main Ave, Callaway, MN</v>
      </c>
    </row>
    <row r="745" spans="1:4" x14ac:dyDescent="0.25">
      <c r="A745" t="s">
        <v>1404</v>
      </c>
      <c r="B745" t="s">
        <v>1405</v>
      </c>
      <c r="C745" t="s">
        <v>502</v>
      </c>
      <c r="D745" t="str">
        <f t="shared" si="13"/>
        <v>1308 East Franklin Ave S. #210, Minneapolis, MN</v>
      </c>
    </row>
    <row r="746" spans="1:4" x14ac:dyDescent="0.25">
      <c r="A746" t="s">
        <v>1408</v>
      </c>
      <c r="B746" t="s">
        <v>1409</v>
      </c>
      <c r="C746" t="s">
        <v>1410</v>
      </c>
      <c r="D746" t="str">
        <f t="shared" si="13"/>
        <v>231 Steeple Road, Mosinee, WI</v>
      </c>
    </row>
    <row r="747" spans="1:4" x14ac:dyDescent="0.25">
      <c r="A747" t="s">
        <v>1411</v>
      </c>
      <c r="B747" t="s">
        <v>1412</v>
      </c>
      <c r="C747" t="s">
        <v>1413</v>
      </c>
      <c r="D747" t="str">
        <f t="shared" si="13"/>
        <v>PO Box 19, Oneida, WI</v>
      </c>
    </row>
    <row r="748" spans="1:4" x14ac:dyDescent="0.25">
      <c r="A748" t="s">
        <v>1414</v>
      </c>
      <c r="B748" t="s">
        <v>1415</v>
      </c>
      <c r="C748" t="s">
        <v>1416</v>
      </c>
      <c r="D748" t="str">
        <f t="shared" si="13"/>
        <v>UWSP Native American Center, 206 Student Services, Stevens Point, WI</v>
      </c>
    </row>
    <row r="749" spans="1:4" x14ac:dyDescent="0.25">
      <c r="A749" t="s">
        <v>493</v>
      </c>
      <c r="B749" t="s">
        <v>494</v>
      </c>
      <c r="C749" t="s">
        <v>502</v>
      </c>
      <c r="D749" t="str">
        <f t="shared" si="13"/>
        <v>3216 31st Ave S, Minneapolis, MN</v>
      </c>
    </row>
    <row r="750" spans="1:4" x14ac:dyDescent="0.25">
      <c r="A750" t="s">
        <v>1449</v>
      </c>
      <c r="B750" t="s">
        <v>1450</v>
      </c>
      <c r="C750" t="s">
        <v>502</v>
      </c>
      <c r="D750" t="str">
        <f t="shared" si="13"/>
        <v>1308 E. Franklin Avenue, Suite 126, Minneapolis, MN</v>
      </c>
    </row>
    <row r="751" spans="1:4" x14ac:dyDescent="0.25">
      <c r="A751" t="s">
        <v>1648</v>
      </c>
      <c r="B751" t="s">
        <v>1649</v>
      </c>
      <c r="C751" t="s">
        <v>1650</v>
      </c>
      <c r="D751" t="str">
        <f t="shared" si="13"/>
        <v>1615 M Street NW, Washington Street, DC</v>
      </c>
    </row>
    <row r="752" spans="1:4" x14ac:dyDescent="0.25">
      <c r="A752" t="s">
        <v>495</v>
      </c>
      <c r="B752" t="s">
        <v>495</v>
      </c>
      <c r="C752" t="s">
        <v>586</v>
      </c>
      <c r="D752" t="str">
        <f t="shared" si="13"/>
        <v>Wilkes-Barre Township K9, Wilkes-Barre Township, PA</v>
      </c>
    </row>
    <row r="753" spans="1:4" x14ac:dyDescent="0.25">
      <c r="A753" t="s">
        <v>496</v>
      </c>
      <c r="B753" t="s">
        <v>497</v>
      </c>
      <c r="C753" t="s">
        <v>587</v>
      </c>
      <c r="D753" t="str">
        <f t="shared" si="13"/>
        <v>14840 Bear Mountain Road, Redding, CA</v>
      </c>
    </row>
    <row r="754" spans="1:4" x14ac:dyDescent="0.25">
      <c r="A754" t="s">
        <v>832</v>
      </c>
      <c r="B754" t="s">
        <v>833</v>
      </c>
      <c r="C754" t="s">
        <v>502</v>
      </c>
      <c r="D754" t="str">
        <f t="shared" si="13"/>
        <v>PO Box 6078, Minneapolis, MN</v>
      </c>
    </row>
    <row r="755" spans="1:4" x14ac:dyDescent="0.25">
      <c r="A755" t="s">
        <v>804</v>
      </c>
      <c r="B755" t="s">
        <v>805</v>
      </c>
      <c r="C755" t="s">
        <v>502</v>
      </c>
      <c r="D755" t="str">
        <f t="shared" ref="D755:D776" si="14">_xlfn.CONCAT(B755,", ",C755)</f>
        <v>4200 Cedar Ave S Suite 322, Minneapolis, MN</v>
      </c>
    </row>
    <row r="756" spans="1:4" x14ac:dyDescent="0.25">
      <c r="A756" t="s">
        <v>1419</v>
      </c>
      <c r="B756" t="s">
        <v>1420</v>
      </c>
      <c r="C756" t="s">
        <v>506</v>
      </c>
      <c r="D756" t="str">
        <f t="shared" si="14"/>
        <v>73 S Leech St., St. Paul, MN</v>
      </c>
    </row>
    <row r="757" spans="1:4" x14ac:dyDescent="0.25">
      <c r="A757" t="s">
        <v>1421</v>
      </c>
      <c r="B757" t="s">
        <v>1422</v>
      </c>
      <c r="C757" t="s">
        <v>549</v>
      </c>
      <c r="D757" t="str">
        <f t="shared" si="14"/>
        <v>449-15th Street 2nd floor, Oakland, CA</v>
      </c>
    </row>
    <row r="758" spans="1:4" x14ac:dyDescent="0.25">
      <c r="A758" t="s">
        <v>1423</v>
      </c>
      <c r="B758" t="s">
        <v>1424</v>
      </c>
      <c r="C758" t="s">
        <v>1425</v>
      </c>
      <c r="D758" t="str">
        <f t="shared" si="14"/>
        <v>PO Box 128, North Branch, MN</v>
      </c>
    </row>
    <row r="759" spans="1:4" x14ac:dyDescent="0.25">
      <c r="A759" t="s">
        <v>498</v>
      </c>
      <c r="B759" t="s">
        <v>499</v>
      </c>
      <c r="C759" t="s">
        <v>524</v>
      </c>
      <c r="D759" t="str">
        <f t="shared" si="14"/>
        <v>32 E 1st St., Ste 300, Duluth, MN</v>
      </c>
    </row>
    <row r="760" spans="1:4" x14ac:dyDescent="0.25">
      <c r="A760" t="s">
        <v>618</v>
      </c>
      <c r="B760" t="s">
        <v>619</v>
      </c>
      <c r="C760" t="s">
        <v>505</v>
      </c>
      <c r="D760" t="str">
        <f t="shared" si="14"/>
        <v>PO Box 182, Moorhead, MN</v>
      </c>
    </row>
    <row r="761" spans="1:4" x14ac:dyDescent="0.25">
      <c r="A761" t="s">
        <v>612</v>
      </c>
      <c r="B761" t="s">
        <v>613</v>
      </c>
      <c r="C761" t="s">
        <v>502</v>
      </c>
      <c r="D761" t="str">
        <f t="shared" si="14"/>
        <v>2511 E Franklin St., Minneapolis, MN</v>
      </c>
    </row>
    <row r="762" spans="1:4" x14ac:dyDescent="0.25">
      <c r="A762" t="s">
        <v>1428</v>
      </c>
      <c r="B762" t="s">
        <v>443</v>
      </c>
      <c r="C762" t="s">
        <v>506</v>
      </c>
      <c r="D762" t="str">
        <f t="shared" si="14"/>
        <v>875 Summit Ave, St. Paul, MN</v>
      </c>
    </row>
    <row r="763" spans="1:4" x14ac:dyDescent="0.25">
      <c r="A763" t="s">
        <v>1429</v>
      </c>
      <c r="B763" t="s">
        <v>1430</v>
      </c>
      <c r="C763" t="s">
        <v>506</v>
      </c>
      <c r="D763" t="str">
        <f t="shared" si="14"/>
        <v>1299 Arcade St, St. Paul, MN</v>
      </c>
    </row>
    <row r="764" spans="1:4" x14ac:dyDescent="0.25">
      <c r="A764" t="s">
        <v>779</v>
      </c>
      <c r="B764" t="s">
        <v>780</v>
      </c>
      <c r="C764" t="s">
        <v>781</v>
      </c>
      <c r="D764" t="str">
        <f t="shared" si="14"/>
        <v>14 Church Street,, Cold Spring, NY</v>
      </c>
    </row>
    <row r="765" spans="1:4" x14ac:dyDescent="0.25">
      <c r="A765" t="s">
        <v>1491</v>
      </c>
      <c r="B765" t="s">
        <v>1492</v>
      </c>
      <c r="C765" t="s">
        <v>1493</v>
      </c>
      <c r="D765" t="str">
        <f t="shared" si="14"/>
        <v>PO Box 1138, Lamedeer, MT</v>
      </c>
    </row>
    <row r="766" spans="1:4" x14ac:dyDescent="0.25">
      <c r="A766" t="s">
        <v>1528</v>
      </c>
      <c r="B766" t="s">
        <v>1529</v>
      </c>
      <c r="C766" t="s">
        <v>1530</v>
      </c>
      <c r="D766" t="str">
        <f t="shared" si="14"/>
        <v>Chief Drygreese Government Building, P.O. Box 2514, Yellowknife, NT</v>
      </c>
    </row>
    <row r="767" spans="1:4" x14ac:dyDescent="0.25">
      <c r="A767" t="s">
        <v>1431</v>
      </c>
      <c r="B767" t="s">
        <v>1432</v>
      </c>
      <c r="C767" t="s">
        <v>1433</v>
      </c>
      <c r="D767" t="str">
        <f t="shared" si="14"/>
        <v>8950 Springbrook Drive, Coon Rapids, MN</v>
      </c>
    </row>
    <row r="768" spans="1:4" x14ac:dyDescent="0.25">
      <c r="A768" t="s">
        <v>1434</v>
      </c>
      <c r="B768" t="s">
        <v>1435</v>
      </c>
      <c r="C768" t="s">
        <v>888</v>
      </c>
      <c r="D768" t="str">
        <f t="shared" si="14"/>
        <v>PO Box 8490, Albuquerque, NM</v>
      </c>
    </row>
    <row r="769" spans="1:4" x14ac:dyDescent="0.25">
      <c r="A769" t="s">
        <v>1436</v>
      </c>
      <c r="B769" t="s">
        <v>1437</v>
      </c>
      <c r="C769" t="s">
        <v>506</v>
      </c>
      <c r="D769" t="str">
        <f t="shared" si="14"/>
        <v>601 Annapolis Street E, St. Paul, MN</v>
      </c>
    </row>
    <row r="770" spans="1:4" x14ac:dyDescent="0.25">
      <c r="A770" t="s">
        <v>1623</v>
      </c>
      <c r="B770" t="s">
        <v>1624</v>
      </c>
      <c r="C770" t="s">
        <v>502</v>
      </c>
      <c r="D770" t="str">
        <f t="shared" si="14"/>
        <v>128 West 33rd Street, Minneapolis, MN</v>
      </c>
    </row>
    <row r="771" spans="1:4" x14ac:dyDescent="0.25">
      <c r="A771" t="s">
        <v>1531</v>
      </c>
      <c r="B771" t="s">
        <v>1532</v>
      </c>
      <c r="C771" t="s">
        <v>502</v>
      </c>
      <c r="D771" t="str">
        <f t="shared" si="14"/>
        <v>6009 Excelsior Boulevard, Minneapolis, MN</v>
      </c>
    </row>
    <row r="772" spans="1:4" x14ac:dyDescent="0.25">
      <c r="A772" t="s">
        <v>1438</v>
      </c>
      <c r="B772" t="s">
        <v>1439</v>
      </c>
      <c r="C772" t="s">
        <v>502</v>
      </c>
      <c r="D772" t="str">
        <f t="shared" si="14"/>
        <v>3024 Chicago Ave. Unit 1, Minneapolis, MN</v>
      </c>
    </row>
    <row r="773" spans="1:4" x14ac:dyDescent="0.25">
      <c r="A773" t="s">
        <v>684</v>
      </c>
      <c r="B773" t="s">
        <v>444</v>
      </c>
      <c r="C773" t="s">
        <v>502</v>
      </c>
      <c r="D773" t="str">
        <f t="shared" si="14"/>
        <v>1111 West 22nd Street, Minneapolis, MN</v>
      </c>
    </row>
    <row r="774" spans="1:4" x14ac:dyDescent="0.25">
      <c r="A774" t="s">
        <v>685</v>
      </c>
      <c r="B774" t="s">
        <v>686</v>
      </c>
      <c r="C774" t="s">
        <v>502</v>
      </c>
      <c r="D774" t="str">
        <f t="shared" si="14"/>
        <v>41 North 12th Street, Minneapolis, MN</v>
      </c>
    </row>
    <row r="775" spans="1:4" x14ac:dyDescent="0.25">
      <c r="A775" t="s">
        <v>1664</v>
      </c>
      <c r="B775" t="s">
        <v>1665</v>
      </c>
      <c r="C775" t="s">
        <v>506</v>
      </c>
      <c r="D775" t="str">
        <f t="shared" si="14"/>
        <v>P.O. Box 111033, St. Paul, MN</v>
      </c>
    </row>
    <row r="776" spans="1:4" x14ac:dyDescent="0.25">
      <c r="A776" t="s">
        <v>1440</v>
      </c>
      <c r="B776" t="s">
        <v>1441</v>
      </c>
      <c r="C776" t="s">
        <v>1442</v>
      </c>
      <c r="D776" t="str">
        <f t="shared" si="14"/>
        <v>PO Box 2, Zomba</v>
      </c>
    </row>
    <row r="777" spans="1:4" x14ac:dyDescent="0.25">
      <c r="A777" t="s">
        <v>68</v>
      </c>
      <c r="D777" t="s">
        <v>1752</v>
      </c>
    </row>
    <row r="778" spans="1:4" x14ac:dyDescent="0.25">
      <c r="A778" t="s">
        <v>9</v>
      </c>
      <c r="D778" t="s">
        <v>1753</v>
      </c>
    </row>
    <row r="779" spans="1:4" x14ac:dyDescent="0.25">
      <c r="A779" t="s">
        <v>10</v>
      </c>
      <c r="D779" t="s">
        <v>1754</v>
      </c>
    </row>
  </sheetData>
  <sortState ref="A2:D776">
    <sortCondition ref="A2:A776"/>
  </sortState>
  <conditionalFormatting sqref="A11">
    <cfRule type="expression" dxfId="8" priority="2">
      <formula>IF(OR($A11="G",$A11="SCF"), TRUE,FALSE)</formula>
    </cfRule>
  </conditionalFormatting>
  <conditionalFormatting sqref="A11">
    <cfRule type="expression" dxfId="7" priority="1">
      <formula>IF(A11="",TRUE,FALSE)</formula>
    </cfRule>
  </conditionalFormatting>
  <conditionalFormatting sqref="A11">
    <cfRule type="duplicateValues" dxfId="6" priority="3" stopIfTrue="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19"/>
  <sheetViews>
    <sheetView topLeftCell="A84" workbookViewId="0">
      <selection activeCell="A107" sqref="A107"/>
    </sheetView>
  </sheetViews>
  <sheetFormatPr defaultRowHeight="15" x14ac:dyDescent="0.25"/>
  <cols>
    <col min="1" max="1" width="56" bestFit="1" customWidth="1"/>
    <col min="2" max="2" width="26.28515625" hidden="1" customWidth="1"/>
    <col min="3" max="3" width="25.28515625" hidden="1" customWidth="1"/>
    <col min="4" max="4" width="25" bestFit="1" customWidth="1"/>
    <col min="5" max="5" width="59" customWidth="1"/>
  </cols>
  <sheetData>
    <row r="1" spans="1:5" s="12" customFormat="1" x14ac:dyDescent="0.25">
      <c r="A1" s="12" t="s">
        <v>115</v>
      </c>
      <c r="B1" s="12" t="s">
        <v>116</v>
      </c>
      <c r="C1" s="12" t="s">
        <v>501</v>
      </c>
      <c r="D1" s="12" t="s">
        <v>117</v>
      </c>
      <c r="E1" s="12" t="s">
        <v>592</v>
      </c>
    </row>
    <row r="2" spans="1:5" x14ac:dyDescent="0.25">
      <c r="A2" s="13" t="s">
        <v>118</v>
      </c>
      <c r="B2" s="13" t="s">
        <v>119</v>
      </c>
      <c r="C2" s="13" t="s">
        <v>502</v>
      </c>
      <c r="D2" s="14">
        <v>42285</v>
      </c>
      <c r="E2" s="13" t="str">
        <f>IF(MAPPING___2[[#This Row],[Preferred Address Lines]]&lt;&gt;"", _xlfn.CONCAT(MAPPING___2[[#This Row],[Preferred Address Lines]], ", ",MAPPING___2[[#This Row],[Preferred City_ State]]), "")</f>
        <v>3029 Chicago Ave., Minneapolis, MN</v>
      </c>
    </row>
    <row r="3" spans="1:5" x14ac:dyDescent="0.25">
      <c r="A3" s="13" t="s">
        <v>120</v>
      </c>
      <c r="B3" s="13" t="s">
        <v>121</v>
      </c>
      <c r="C3" s="13" t="s">
        <v>503</v>
      </c>
      <c r="D3" s="14">
        <v>42410</v>
      </c>
      <c r="E3" s="13" t="str">
        <f>IF(MAPPING___2[[#This Row],[Preferred Address Lines]]&lt;&gt;"", _xlfn.CONCAT(MAPPING___2[[#This Row],[Preferred Address Lines]], ", ",MAPPING___2[[#This Row],[Preferred City_ State]]), "")</f>
        <v>601 Bayview, Madison, WI</v>
      </c>
    </row>
    <row r="4" spans="1:5" x14ac:dyDescent="0.25">
      <c r="A4" s="13" t="s">
        <v>122</v>
      </c>
      <c r="B4" s="13" t="s">
        <v>123</v>
      </c>
      <c r="C4" s="13" t="s">
        <v>502</v>
      </c>
      <c r="D4" s="14">
        <v>42403</v>
      </c>
      <c r="E4" s="13" t="str">
        <f>IF(MAPPING___2[[#This Row],[Preferred Address Lines]]&lt;&gt;"", _xlfn.CONCAT(MAPPING___2[[#This Row],[Preferred Address Lines]], ", ",MAPPING___2[[#This Row],[Preferred City_ State]]), "")</f>
        <v>2100 Stevens Avenue, Minneapolis, MN</v>
      </c>
    </row>
    <row r="5" spans="1:5" x14ac:dyDescent="0.25">
      <c r="A5" s="13" t="s">
        <v>35</v>
      </c>
      <c r="B5" s="13" t="s">
        <v>124</v>
      </c>
      <c r="C5" s="13" t="s">
        <v>504</v>
      </c>
      <c r="D5" s="14">
        <v>42524</v>
      </c>
      <c r="E5" s="13" t="str">
        <f>IF(MAPPING___2[[#This Row],[Preferred Address Lines]]&lt;&gt;"", _xlfn.CONCAT(MAPPING___2[[#This Row],[Preferred Address Lines]], ", ",MAPPING___2[[#This Row],[Preferred City_ State]]), "")</f>
        <v>5701 Shingle Creek Parkway, Ste 630, Brooklyn Center, MN</v>
      </c>
    </row>
    <row r="6" spans="1:5" x14ac:dyDescent="0.25">
      <c r="A6" s="13" t="s">
        <v>125</v>
      </c>
      <c r="B6" s="13" t="s">
        <v>126</v>
      </c>
      <c r="C6" s="13" t="s">
        <v>505</v>
      </c>
      <c r="D6" s="14">
        <v>42291</v>
      </c>
      <c r="E6" s="13" t="str">
        <f>IF(MAPPING___2[[#This Row],[Preferred Address Lines]]&lt;&gt;"", _xlfn.CONCAT(MAPPING___2[[#This Row],[Preferred Address Lines]], ", ",MAPPING___2[[#This Row],[Preferred City_ State]]), "")</f>
        <v>810 4th Ave. S. #100, Moorhead, MN</v>
      </c>
    </row>
    <row r="7" spans="1:5" x14ac:dyDescent="0.25">
      <c r="A7" s="13" t="s">
        <v>127</v>
      </c>
      <c r="B7" s="13" t="s">
        <v>128</v>
      </c>
      <c r="C7" s="13" t="s">
        <v>502</v>
      </c>
      <c r="D7" s="14">
        <v>42535</v>
      </c>
      <c r="E7" s="13" t="str">
        <f>IF(MAPPING___2[[#This Row],[Preferred Address Lines]]&lt;&gt;"", _xlfn.CONCAT(MAPPING___2[[#This Row],[Preferred Address Lines]], ", ",MAPPING___2[[#This Row],[Preferred City_ State]]), "")</f>
        <v>600 East Minnehaha Parkway, Minneapolis, MN</v>
      </c>
    </row>
    <row r="8" spans="1:5" x14ac:dyDescent="0.25">
      <c r="A8" s="13" t="s">
        <v>129</v>
      </c>
      <c r="B8" s="13" t="s">
        <v>130</v>
      </c>
      <c r="C8" s="13" t="s">
        <v>506</v>
      </c>
      <c r="D8" s="14">
        <v>42285</v>
      </c>
      <c r="E8" s="13" t="str">
        <f>IF(MAPPING___2[[#This Row],[Preferred Address Lines]]&lt;&gt;"", _xlfn.CONCAT(MAPPING___2[[#This Row],[Preferred Address Lines]], ", ",MAPPING___2[[#This Row],[Preferred City_ State]]), "")</f>
        <v>1821 University Avenue West Suite S-227, St. Paul, MN</v>
      </c>
    </row>
    <row r="9" spans="1:5" x14ac:dyDescent="0.25">
      <c r="A9" s="13" t="s">
        <v>131</v>
      </c>
      <c r="B9" s="13" t="s">
        <v>132</v>
      </c>
      <c r="C9" s="13" t="s">
        <v>507</v>
      </c>
      <c r="D9" s="14">
        <v>42086</v>
      </c>
      <c r="E9" s="13" t="str">
        <f>IF(MAPPING___2[[#This Row],[Preferred Address Lines]]&lt;&gt;"", _xlfn.CONCAT(MAPPING___2[[#This Row],[Preferred Address Lines]], ", ",MAPPING___2[[#This Row],[Preferred City_ State]]), "")</f>
        <v>140 West 98th St, Suite 205, Bloomington, MN</v>
      </c>
    </row>
    <row r="10" spans="1:5" x14ac:dyDescent="0.25">
      <c r="A10" s="13" t="s">
        <v>89</v>
      </c>
      <c r="B10" s="13" t="s">
        <v>133</v>
      </c>
      <c r="C10" s="13" t="s">
        <v>505</v>
      </c>
      <c r="D10" s="14">
        <v>42174</v>
      </c>
      <c r="E10" s="13" t="str">
        <f>IF(MAPPING___2[[#This Row],[Preferred Address Lines]]&lt;&gt;"", _xlfn.CONCAT(MAPPING___2[[#This Row],[Preferred Address Lines]], ", ",MAPPING___2[[#This Row],[Preferred City_ State]]), "")</f>
        <v>1132 28th Ave S Suite 104, Moorhead, MN</v>
      </c>
    </row>
    <row r="11" spans="1:5" x14ac:dyDescent="0.25">
      <c r="A11" s="13" t="s">
        <v>107</v>
      </c>
      <c r="B11" s="13" t="s">
        <v>134</v>
      </c>
      <c r="C11" s="13" t="s">
        <v>502</v>
      </c>
      <c r="D11" s="14">
        <v>42074</v>
      </c>
      <c r="E11" s="13" t="str">
        <f>IF(MAPPING___2[[#This Row],[Preferred Address Lines]]&lt;&gt;"", _xlfn.CONCAT(MAPPING___2[[#This Row],[Preferred Address Lines]], ", ",MAPPING___2[[#This Row],[Preferred City_ State]]), "")</f>
        <v>2104 Stevens Ave S, Ste 215, Minneapolis, MN</v>
      </c>
    </row>
    <row r="12" spans="1:5" x14ac:dyDescent="0.25">
      <c r="A12" s="13" t="s">
        <v>135</v>
      </c>
      <c r="B12" s="13" t="s">
        <v>136</v>
      </c>
      <c r="C12" s="13" t="s">
        <v>508</v>
      </c>
      <c r="D12" s="14">
        <v>42010</v>
      </c>
      <c r="E12" s="13" t="str">
        <f>IF(MAPPING___2[[#This Row],[Preferred Address Lines]]&lt;&gt;"", _xlfn.CONCAT(MAPPING___2[[#This Row],[Preferred Address Lines]], ", ",MAPPING___2[[#This Row],[Preferred City_ State]]), "")</f>
        <v>225 2nd Ave SW, Aitkin, MN</v>
      </c>
    </row>
    <row r="13" spans="1:5" x14ac:dyDescent="0.25">
      <c r="A13" s="13" t="s">
        <v>137</v>
      </c>
      <c r="B13" s="13" t="s">
        <v>138</v>
      </c>
      <c r="C13" s="13" t="s">
        <v>509</v>
      </c>
      <c r="D13" s="14">
        <v>42604</v>
      </c>
      <c r="E13" s="13" t="str">
        <f>IF(MAPPING___2[[#This Row],[Preferred Address Lines]]&lt;&gt;"", _xlfn.CONCAT(MAPPING___2[[#This Row],[Preferred Address Lines]], ", ",MAPPING___2[[#This Row],[Preferred City_ State]]), "")</f>
        <v>225 E. 26th Street, Suite 1, Tucson, AZ</v>
      </c>
    </row>
    <row r="14" spans="1:5" x14ac:dyDescent="0.25">
      <c r="A14" s="13" t="s">
        <v>87</v>
      </c>
      <c r="B14" s="13" t="s">
        <v>139</v>
      </c>
      <c r="C14" s="13" t="s">
        <v>502</v>
      </c>
      <c r="D14" s="14">
        <v>42201</v>
      </c>
      <c r="E14" s="13" t="str">
        <f>IF(MAPPING___2[[#This Row],[Preferred Address Lines]]&lt;&gt;"", _xlfn.CONCAT(MAPPING___2[[#This Row],[Preferred Address Lines]], ", ",MAPPING___2[[#This Row],[Preferred City_ State]]), "")</f>
        <v>1113 East Franklin Avenue, Suite 103, Minneapolis, MN</v>
      </c>
    </row>
    <row r="15" spans="1:5" x14ac:dyDescent="0.25">
      <c r="A15" s="13" t="s">
        <v>140</v>
      </c>
      <c r="B15" s="13" t="s">
        <v>141</v>
      </c>
      <c r="C15" s="13" t="s">
        <v>510</v>
      </c>
      <c r="D15" s="14">
        <v>42893</v>
      </c>
      <c r="E15" s="13" t="str">
        <f>IF(MAPPING___2[[#This Row],[Preferred Address Lines]]&lt;&gt;"", _xlfn.CONCAT(MAPPING___2[[#This Row],[Preferred Address Lines]], ", ",MAPPING___2[[#This Row],[Preferred City_ State]]), "")</f>
        <v>8575N Trepania Road, Hayward, WI</v>
      </c>
    </row>
    <row r="16" spans="1:5" x14ac:dyDescent="0.25">
      <c r="A16" s="13" t="s">
        <v>142</v>
      </c>
      <c r="B16" s="13" t="s">
        <v>143</v>
      </c>
      <c r="C16" s="13" t="s">
        <v>506</v>
      </c>
      <c r="D16" s="14">
        <v>42894</v>
      </c>
      <c r="E16" s="13" t="str">
        <f>IF(MAPPING___2[[#This Row],[Preferred Address Lines]]&lt;&gt;"", _xlfn.CONCAT(MAPPING___2[[#This Row],[Preferred Address Lines]], ", ",MAPPING___2[[#This Row],[Preferred City_ State]]), "")</f>
        <v>2380 Wycliff Street, Suite 200, St. Paul, MN</v>
      </c>
    </row>
    <row r="17" spans="1:5" x14ac:dyDescent="0.25">
      <c r="A17" s="13" t="s">
        <v>144</v>
      </c>
      <c r="B17" s="13" t="s">
        <v>145</v>
      </c>
      <c r="C17" s="13" t="s">
        <v>502</v>
      </c>
      <c r="D17" s="14">
        <v>42282</v>
      </c>
      <c r="E17" s="13" t="str">
        <f>IF(MAPPING___2[[#This Row],[Preferred Address Lines]]&lt;&gt;"", _xlfn.CONCAT(MAPPING___2[[#This Row],[Preferred Address Lines]], ", ",MAPPING___2[[#This Row],[Preferred City_ State]]), "")</f>
        <v>3405 Chicago Ave S, Minneapolis, MN</v>
      </c>
    </row>
    <row r="18" spans="1:5" x14ac:dyDescent="0.25">
      <c r="A18" s="13" t="s">
        <v>146</v>
      </c>
      <c r="B18" s="13" t="s">
        <v>147</v>
      </c>
      <c r="C18" s="13" t="s">
        <v>511</v>
      </c>
      <c r="D18" s="14">
        <v>42366</v>
      </c>
      <c r="E18" s="13" t="str">
        <f>IF(MAPPING___2[[#This Row],[Preferred Address Lines]]&lt;&gt;"", _xlfn.CONCAT(MAPPING___2[[#This Row],[Preferred Address Lines]], ", ",MAPPING___2[[#This Row],[Preferred City_ State]]), "")</f>
        <v>PO Box 766, San Carlos, AZ</v>
      </c>
    </row>
    <row r="19" spans="1:5" x14ac:dyDescent="0.25">
      <c r="A19" s="13" t="s">
        <v>148</v>
      </c>
      <c r="B19" s="13" t="s">
        <v>149</v>
      </c>
      <c r="C19" s="13" t="s">
        <v>149</v>
      </c>
      <c r="D19" s="14">
        <v>42285</v>
      </c>
      <c r="E19" s="13" t="str">
        <f>IF(MAPPING___2[[#This Row],[Preferred Address Lines]]&lt;&gt;"", _xlfn.CONCAT(MAPPING___2[[#This Row],[Preferred Address Lines]], ", ",MAPPING___2[[#This Row],[Preferred City_ State]]), "")</f>
        <v/>
      </c>
    </row>
    <row r="20" spans="1:5" x14ac:dyDescent="0.25">
      <c r="A20" s="13" t="s">
        <v>150</v>
      </c>
      <c r="B20" s="13" t="s">
        <v>151</v>
      </c>
      <c r="C20" s="13" t="s">
        <v>502</v>
      </c>
      <c r="D20" s="14">
        <v>42388</v>
      </c>
      <c r="E20" s="13" t="str">
        <f>IF(MAPPING___2[[#This Row],[Preferred Address Lines]]&lt;&gt;"", _xlfn.CONCAT(MAPPING___2[[#This Row],[Preferred Address Lines]], ", ",MAPPING___2[[#This Row],[Preferred City_ State]]), "")</f>
        <v>2418 Plymouth Avenue North, Minneapolis, MN</v>
      </c>
    </row>
    <row r="21" spans="1:5" x14ac:dyDescent="0.25">
      <c r="A21" s="13" t="s">
        <v>152</v>
      </c>
      <c r="B21" s="13" t="s">
        <v>153</v>
      </c>
      <c r="C21" s="13" t="s">
        <v>512</v>
      </c>
      <c r="D21" s="14">
        <v>42009</v>
      </c>
      <c r="E21" s="13" t="str">
        <f>IF(MAPPING___2[[#This Row],[Preferred Address Lines]]&lt;&gt;"", _xlfn.CONCAT(MAPPING___2[[#This Row],[Preferred Address Lines]], ", ",MAPPING___2[[#This Row],[Preferred City_ State]]), "")</f>
        <v>C/O 6500 BROOKLYN BLVD, STE 200, BROKLYN CENTER, MN</v>
      </c>
    </row>
    <row r="22" spans="1:5" x14ac:dyDescent="0.25">
      <c r="A22" s="13" t="s">
        <v>154</v>
      </c>
      <c r="B22" s="13" t="s">
        <v>155</v>
      </c>
      <c r="C22" s="13" t="s">
        <v>513</v>
      </c>
      <c r="D22" s="14">
        <v>42720</v>
      </c>
      <c r="E22" s="13" t="str">
        <f>IF(MAPPING___2[[#This Row],[Preferred Address Lines]]&lt;&gt;"", _xlfn.CONCAT(MAPPING___2[[#This Row],[Preferred Address Lines]], ", ",MAPPING___2[[#This Row],[Preferred City_ State]]), "")</f>
        <v>116 East 16th Street, 7th Floor, New York, NY</v>
      </c>
    </row>
    <row r="23" spans="1:5" x14ac:dyDescent="0.25">
      <c r="A23" s="13" t="s">
        <v>156</v>
      </c>
      <c r="B23" s="13" t="s">
        <v>157</v>
      </c>
      <c r="C23" s="13" t="s">
        <v>513</v>
      </c>
      <c r="D23" s="14">
        <v>42283</v>
      </c>
      <c r="E23" s="13" t="str">
        <f>IF(MAPPING___2[[#This Row],[Preferred Address Lines]]&lt;&gt;"", _xlfn.CONCAT(MAPPING___2[[#This Row],[Preferred Address Lines]], ", ",MAPPING___2[[#This Row],[Preferred City_ State]]), "")</f>
        <v>601 West 26th Street Suite 325-43, New York, NY</v>
      </c>
    </row>
    <row r="24" spans="1:5" x14ac:dyDescent="0.25">
      <c r="A24" s="13" t="s">
        <v>158</v>
      </c>
      <c r="B24" s="13" t="s">
        <v>159</v>
      </c>
      <c r="C24" s="13" t="s">
        <v>514</v>
      </c>
      <c r="D24" s="14">
        <v>42830</v>
      </c>
      <c r="E24" s="13" t="str">
        <f>IF(MAPPING___2[[#This Row],[Preferred Address Lines]]&lt;&gt;"", _xlfn.CONCAT(MAPPING___2[[#This Row],[Preferred Address Lines]], ", ",MAPPING___2[[#This Row],[Preferred City_ State]]), "")</f>
        <v>54165 Audubon Drive, Sandstone, MN</v>
      </c>
    </row>
    <row r="25" spans="1:5" x14ac:dyDescent="0.25">
      <c r="A25" s="13" t="s">
        <v>47</v>
      </c>
      <c r="B25" s="13" t="s">
        <v>160</v>
      </c>
      <c r="C25" s="13" t="s">
        <v>515</v>
      </c>
      <c r="D25" s="14">
        <v>42388</v>
      </c>
      <c r="E25" s="13" t="str">
        <f>IF(MAPPING___2[[#This Row],[Preferred Address Lines]]&lt;&gt;"", _xlfn.CONCAT(MAPPING___2[[#This Row],[Preferred Address Lines]], ", ",MAPPING___2[[#This Row],[Preferred City_ State]]), "")</f>
        <v>2380 Wycliff Street, #102, Saint Paul, MN</v>
      </c>
    </row>
    <row r="26" spans="1:5" x14ac:dyDescent="0.25">
      <c r="A26" s="13" t="s">
        <v>48</v>
      </c>
      <c r="B26" s="13" t="s">
        <v>161</v>
      </c>
      <c r="C26" s="13" t="s">
        <v>502</v>
      </c>
      <c r="D26" s="14">
        <v>42535</v>
      </c>
      <c r="E26" s="13" t="str">
        <f>IF(MAPPING___2[[#This Row],[Preferred Address Lines]]&lt;&gt;"", _xlfn.CONCAT(MAPPING___2[[#This Row],[Preferred Address Lines]], ", ",MAPPING___2[[#This Row],[Preferred City_ State]]), "")</f>
        <v>3216 East 29th Street, Minneapolis, MN</v>
      </c>
    </row>
    <row r="27" spans="1:5" x14ac:dyDescent="0.25">
      <c r="A27" s="13" t="s">
        <v>162</v>
      </c>
      <c r="B27" s="13" t="s">
        <v>163</v>
      </c>
      <c r="C27" s="13" t="s">
        <v>502</v>
      </c>
      <c r="D27" s="14">
        <v>42039</v>
      </c>
      <c r="E27" s="13" t="str">
        <f>IF(MAPPING___2[[#This Row],[Preferred Address Lines]]&lt;&gt;"", _xlfn.CONCAT(MAPPING___2[[#This Row],[Preferred Address Lines]], ", ",MAPPING___2[[#This Row],[Preferred City_ State]]), "")</f>
        <v>2637 27th Ave S, Minneapolis, MN</v>
      </c>
    </row>
    <row r="28" spans="1:5" x14ac:dyDescent="0.25">
      <c r="A28" s="13" t="s">
        <v>164</v>
      </c>
      <c r="B28" s="13" t="s">
        <v>165</v>
      </c>
      <c r="C28" s="13" t="s">
        <v>502</v>
      </c>
      <c r="D28" s="14">
        <v>42901</v>
      </c>
      <c r="E28" s="13" t="str">
        <f>IF(MAPPING___2[[#This Row],[Preferred Address Lines]]&lt;&gt;"", _xlfn.CONCAT(MAPPING___2[[#This Row],[Preferred Address Lines]], ", ",MAPPING___2[[#This Row],[Preferred City_ State]]), "")</f>
        <v>416 E Hennepin Ave Suite 116, Minneapolis, MN</v>
      </c>
    </row>
    <row r="29" spans="1:5" x14ac:dyDescent="0.25">
      <c r="A29" s="13" t="s">
        <v>62</v>
      </c>
      <c r="B29" s="13" t="s">
        <v>166</v>
      </c>
      <c r="C29" s="13" t="s">
        <v>516</v>
      </c>
      <c r="D29" s="14">
        <v>42283</v>
      </c>
      <c r="E29" s="13" t="str">
        <f>IF(MAPPING___2[[#This Row],[Preferred Address Lines]]&lt;&gt;"", _xlfn.CONCAT(MAPPING___2[[#This Row],[Preferred Address Lines]], ", ",MAPPING___2[[#This Row],[Preferred City_ State]]), "")</f>
        <v>P. O. Box 1123, Bemidji, MN</v>
      </c>
    </row>
    <row r="30" spans="1:5" x14ac:dyDescent="0.25">
      <c r="A30" s="13" t="s">
        <v>167</v>
      </c>
      <c r="B30" s="13" t="s">
        <v>168</v>
      </c>
      <c r="C30" s="13" t="s">
        <v>506</v>
      </c>
      <c r="D30" s="14">
        <v>42016</v>
      </c>
      <c r="E30" s="13" t="str">
        <f>IF(MAPPING___2[[#This Row],[Preferred Address Lines]]&lt;&gt;"", _xlfn.CONCAT(MAPPING___2[[#This Row],[Preferred Address Lines]], ", ",MAPPING___2[[#This Row],[Preferred City_ State]]), "")</f>
        <v>2550 University Ave W Ste 410 N, St. Paul, MN</v>
      </c>
    </row>
    <row r="31" spans="1:5" x14ac:dyDescent="0.25">
      <c r="A31" s="13" t="s">
        <v>88</v>
      </c>
      <c r="B31" s="13" t="s">
        <v>169</v>
      </c>
      <c r="C31" s="13" t="s">
        <v>502</v>
      </c>
      <c r="D31" s="14">
        <v>42235</v>
      </c>
      <c r="E31" s="13" t="str">
        <f>IF(MAPPING___2[[#This Row],[Preferred Address Lines]]&lt;&gt;"", _xlfn.CONCAT(MAPPING___2[[#This Row],[Preferred Address Lines]], ", ",MAPPING___2[[#This Row],[Preferred City_ State]]), "")</f>
        <v>1113 East Franklin Avenue, Minneapolis, MN</v>
      </c>
    </row>
    <row r="32" spans="1:5" x14ac:dyDescent="0.25">
      <c r="A32" s="13" t="s">
        <v>170</v>
      </c>
      <c r="B32" s="13" t="s">
        <v>149</v>
      </c>
      <c r="C32" s="13" t="s">
        <v>149</v>
      </c>
      <c r="D32" s="14">
        <v>42044</v>
      </c>
      <c r="E32" s="13" t="str">
        <f>IF(MAPPING___2[[#This Row],[Preferred Address Lines]]&lt;&gt;"", _xlfn.CONCAT(MAPPING___2[[#This Row],[Preferred Address Lines]], ", ",MAPPING___2[[#This Row],[Preferred City_ State]]), "")</f>
        <v/>
      </c>
    </row>
    <row r="33" spans="1:5" x14ac:dyDescent="0.25">
      <c r="A33" s="13" t="s">
        <v>171</v>
      </c>
      <c r="B33" s="13" t="s">
        <v>172</v>
      </c>
      <c r="C33" s="13" t="s">
        <v>517</v>
      </c>
      <c r="D33" s="14">
        <v>42859</v>
      </c>
      <c r="E33" s="13" t="str">
        <f>IF(MAPPING___2[[#This Row],[Preferred Address Lines]]&lt;&gt;"", _xlfn.CONCAT(MAPPING___2[[#This Row],[Preferred Address Lines]], ", ",MAPPING___2[[#This Row],[Preferred City_ State]]), "")</f>
        <v>2377 Dancing Wind Rd SW, Pine River, MN</v>
      </c>
    </row>
    <row r="34" spans="1:5" x14ac:dyDescent="0.25">
      <c r="A34" s="13" t="s">
        <v>173</v>
      </c>
      <c r="B34" s="13" t="s">
        <v>174</v>
      </c>
      <c r="C34" s="13" t="s">
        <v>518</v>
      </c>
      <c r="D34" s="14">
        <v>42289</v>
      </c>
      <c r="E34" s="13" t="str">
        <f>IF(MAPPING___2[[#This Row],[Preferred Address Lines]]&lt;&gt;"", _xlfn.CONCAT(MAPPING___2[[#This Row],[Preferred Address Lines]], ", ",MAPPING___2[[#This Row],[Preferred City_ State]]), "")</f>
        <v>1017 L Street Suite 711, Sacramento, CA</v>
      </c>
    </row>
    <row r="35" spans="1:5" x14ac:dyDescent="0.25">
      <c r="A35" s="13" t="s">
        <v>46</v>
      </c>
      <c r="B35" s="13" t="s">
        <v>175</v>
      </c>
      <c r="C35" s="13" t="s">
        <v>502</v>
      </c>
      <c r="D35" s="14">
        <v>42037</v>
      </c>
      <c r="E35" s="13" t="str">
        <f>IF(MAPPING___2[[#This Row],[Preferred Address Lines]]&lt;&gt;"", _xlfn.CONCAT(MAPPING___2[[#This Row],[Preferred Address Lines]], ", ",MAPPING___2[[#This Row],[Preferred City_ State]]), "")</f>
        <v>3032 10th Ave. South, Minneapolis, MN</v>
      </c>
    </row>
    <row r="36" spans="1:5" x14ac:dyDescent="0.25">
      <c r="A36" s="13" t="s">
        <v>176</v>
      </c>
      <c r="B36" s="13" t="s">
        <v>177</v>
      </c>
      <c r="C36" s="13" t="s">
        <v>519</v>
      </c>
      <c r="D36" s="14">
        <v>42397</v>
      </c>
      <c r="E36" s="13" t="str">
        <f>IF(MAPPING___2[[#This Row],[Preferred Address Lines]]&lt;&gt;"", _xlfn.CONCAT(MAPPING___2[[#This Row],[Preferred Address Lines]], ", ",MAPPING___2[[#This Row],[Preferred City_ State]]), "")</f>
        <v>1018 S 7th Ave, Tuscon, AZ</v>
      </c>
    </row>
    <row r="37" spans="1:5" x14ac:dyDescent="0.25">
      <c r="A37" s="13" t="s">
        <v>178</v>
      </c>
      <c r="B37" s="13" t="s">
        <v>179</v>
      </c>
      <c r="C37" s="13" t="s">
        <v>502</v>
      </c>
      <c r="D37" s="14">
        <v>42074</v>
      </c>
      <c r="E37" s="13" t="str">
        <f>IF(MAPPING___2[[#This Row],[Preferred Address Lines]]&lt;&gt;"", _xlfn.CONCAT(MAPPING___2[[#This Row],[Preferred Address Lines]], ", ",MAPPING___2[[#This Row],[Preferred City_ State]]), "")</f>
        <v>P.O. Box 11622, Minneapolis, MN</v>
      </c>
    </row>
    <row r="38" spans="1:5" x14ac:dyDescent="0.25">
      <c r="A38" s="13" t="s">
        <v>180</v>
      </c>
      <c r="B38" s="13" t="s">
        <v>181</v>
      </c>
      <c r="C38" s="13" t="s">
        <v>520</v>
      </c>
      <c r="D38" s="14">
        <v>42082</v>
      </c>
      <c r="E38" s="13" t="str">
        <f>IF(MAPPING___2[[#This Row],[Preferred Address Lines]]&lt;&gt;"", _xlfn.CONCAT(MAPPING___2[[#This Row],[Preferred Address Lines]], ", ",MAPPING___2[[#This Row],[Preferred City_ State]]), "")</f>
        <v>445 Union Str., Lake Andes, SD</v>
      </c>
    </row>
    <row r="39" spans="1:5" x14ac:dyDescent="0.25">
      <c r="A39" s="13" t="s">
        <v>182</v>
      </c>
      <c r="B39" s="13" t="s">
        <v>183</v>
      </c>
      <c r="C39" s="13" t="s">
        <v>515</v>
      </c>
      <c r="D39" s="14">
        <v>42647</v>
      </c>
      <c r="E39" s="13" t="str">
        <f>IF(MAPPING___2[[#This Row],[Preferred Address Lines]]&lt;&gt;"", _xlfn.CONCAT(MAPPING___2[[#This Row],[Preferred Address Lines]], ", ",MAPPING___2[[#This Row],[Preferred City_ State]]), "")</f>
        <v>209 Page Street, Saint Paul, MN</v>
      </c>
    </row>
    <row r="40" spans="1:5" x14ac:dyDescent="0.25">
      <c r="A40" s="13" t="s">
        <v>184</v>
      </c>
      <c r="B40" s="13" t="s">
        <v>185</v>
      </c>
      <c r="C40" s="13" t="s">
        <v>515</v>
      </c>
      <c r="D40" s="14">
        <v>42650</v>
      </c>
      <c r="E40" s="13" t="str">
        <f>IF(MAPPING___2[[#This Row],[Preferred Address Lines]]&lt;&gt;"", _xlfn.CONCAT(MAPPING___2[[#This Row],[Preferred Address Lines]], ", ",MAPPING___2[[#This Row],[Preferred City_ State]]), "")</f>
        <v>2314 University Avenue, Saint Paul, MN</v>
      </c>
    </row>
    <row r="41" spans="1:5" x14ac:dyDescent="0.25">
      <c r="A41" s="13" t="s">
        <v>186</v>
      </c>
      <c r="B41" s="13" t="s">
        <v>187</v>
      </c>
      <c r="C41" s="13" t="s">
        <v>503</v>
      </c>
      <c r="D41" s="14">
        <v>42048</v>
      </c>
      <c r="E41" s="13" t="str">
        <f>IF(MAPPING___2[[#This Row],[Preferred Address Lines]]&lt;&gt;"", _xlfn.CONCAT(MAPPING___2[[#This Row],[Preferred Address Lines]], ", ",MAPPING___2[[#This Row],[Preferred City_ State]]), "")</f>
        <v>601 Bay VW, Madison, WI</v>
      </c>
    </row>
    <row r="42" spans="1:5" x14ac:dyDescent="0.25">
      <c r="A42" s="13" t="s">
        <v>188</v>
      </c>
      <c r="B42" s="13" t="s">
        <v>189</v>
      </c>
      <c r="C42" s="13" t="s">
        <v>521</v>
      </c>
      <c r="D42" s="14">
        <v>42074</v>
      </c>
      <c r="E42" s="13" t="str">
        <f>IF(MAPPING___2[[#This Row],[Preferred Address Lines]]&lt;&gt;"", _xlfn.CONCAT(MAPPING___2[[#This Row],[Preferred Address Lines]], ", ",MAPPING___2[[#This Row],[Preferred City_ State]]), "")</f>
        <v>324 1st Ave, SW, Rochester, MN</v>
      </c>
    </row>
    <row r="43" spans="1:5" x14ac:dyDescent="0.25">
      <c r="A43" s="13" t="s">
        <v>190</v>
      </c>
      <c r="B43" s="13" t="s">
        <v>191</v>
      </c>
      <c r="C43" s="13" t="s">
        <v>502</v>
      </c>
      <c r="D43" s="14">
        <v>42901</v>
      </c>
      <c r="E43" s="13" t="str">
        <f>IF(MAPPING___2[[#This Row],[Preferred Address Lines]]&lt;&gt;"", _xlfn.CONCAT(MAPPING___2[[#This Row],[Preferred Address Lines]], ", ",MAPPING___2[[#This Row],[Preferred City_ State]]), "")</f>
        <v>3715 Chicago Avenue South, Minneapolis, MN</v>
      </c>
    </row>
    <row r="44" spans="1:5" x14ac:dyDescent="0.25">
      <c r="A44" s="13" t="s">
        <v>192</v>
      </c>
      <c r="B44" s="13" t="s">
        <v>193</v>
      </c>
      <c r="C44" s="13" t="s">
        <v>522</v>
      </c>
      <c r="D44" s="14">
        <v>42283</v>
      </c>
      <c r="E44" s="13" t="str">
        <f>IF(MAPPING___2[[#This Row],[Preferred Address Lines]]&lt;&gt;"", _xlfn.CONCAT(MAPPING___2[[#This Row],[Preferred Address Lines]], ", ",MAPPING___2[[#This Row],[Preferred City_ State]]), "")</f>
        <v>9440 Science Center Drive, New Hope, MN</v>
      </c>
    </row>
    <row r="45" spans="1:5" x14ac:dyDescent="0.25">
      <c r="A45" s="13" t="s">
        <v>194</v>
      </c>
      <c r="B45" s="13" t="s">
        <v>195</v>
      </c>
      <c r="C45" s="13" t="s">
        <v>506</v>
      </c>
      <c r="D45" s="14">
        <v>42053</v>
      </c>
      <c r="E45" s="13" t="str">
        <f>IF(MAPPING___2[[#This Row],[Preferred Address Lines]]&lt;&gt;"", _xlfn.CONCAT(MAPPING___2[[#This Row],[Preferred Address Lines]], ", ",MAPPING___2[[#This Row],[Preferred City_ State]]), "")</f>
        <v>1282 Concordia Avenue, St. Paul, MN</v>
      </c>
    </row>
    <row r="46" spans="1:5" x14ac:dyDescent="0.25">
      <c r="A46" s="13" t="s">
        <v>196</v>
      </c>
      <c r="B46" s="13" t="s">
        <v>197</v>
      </c>
      <c r="C46" s="13" t="s">
        <v>523</v>
      </c>
      <c r="D46" s="14">
        <v>42374</v>
      </c>
      <c r="E46" s="13" t="str">
        <f>IF(MAPPING___2[[#This Row],[Preferred Address Lines]]&lt;&gt;"", _xlfn.CONCAT(MAPPING___2[[#This Row],[Preferred Address Lines]], ", ",MAPPING___2[[#This Row],[Preferred City_ State]]), "")</f>
        <v>184 Bush Road, Cobleskill, NY</v>
      </c>
    </row>
    <row r="47" spans="1:5" x14ac:dyDescent="0.25">
      <c r="A47" s="13" t="s">
        <v>198</v>
      </c>
      <c r="B47" s="13" t="s">
        <v>199</v>
      </c>
      <c r="C47" s="13" t="s">
        <v>502</v>
      </c>
      <c r="D47" s="14">
        <v>42284</v>
      </c>
      <c r="E47" s="13" t="str">
        <f>IF(MAPPING___2[[#This Row],[Preferred Address Lines]]&lt;&gt;"", _xlfn.CONCAT(MAPPING___2[[#This Row],[Preferred Address Lines]], ", ",MAPPING___2[[#This Row],[Preferred City_ State]]), "")</f>
        <v>P. O. Box 80642, Minneapolis, MN</v>
      </c>
    </row>
    <row r="48" spans="1:5" x14ac:dyDescent="0.25">
      <c r="A48" s="13" t="s">
        <v>200</v>
      </c>
      <c r="B48" s="13" t="s">
        <v>201</v>
      </c>
      <c r="C48" s="13" t="s">
        <v>502</v>
      </c>
      <c r="D48" s="14">
        <v>42867</v>
      </c>
      <c r="E48" s="13" t="str">
        <f>IF(MAPPING___2[[#This Row],[Preferred Address Lines]]&lt;&gt;"", _xlfn.CONCAT(MAPPING___2[[#This Row],[Preferred Address Lines]], ", ",MAPPING___2[[#This Row],[Preferred City_ State]]), "")</f>
        <v>1800 Glenwood Avenue, Minneapolis, MN</v>
      </c>
    </row>
    <row r="49" spans="1:5" x14ac:dyDescent="0.25">
      <c r="A49" s="13" t="s">
        <v>202</v>
      </c>
      <c r="B49" s="13" t="s">
        <v>203</v>
      </c>
      <c r="C49" s="13" t="s">
        <v>502</v>
      </c>
      <c r="D49" s="14">
        <v>42074</v>
      </c>
      <c r="E49" s="13" t="str">
        <f>IF(MAPPING___2[[#This Row],[Preferred Address Lines]]&lt;&gt;"", _xlfn.CONCAT(MAPPING___2[[#This Row],[Preferred Address Lines]], ", ",MAPPING___2[[#This Row],[Preferred City_ State]]), "")</f>
        <v>636 Broadway St NE, Minneapolis, MN</v>
      </c>
    </row>
    <row r="50" spans="1:5" x14ac:dyDescent="0.25">
      <c r="A50" s="13" t="s">
        <v>108</v>
      </c>
      <c r="B50" s="13" t="s">
        <v>204</v>
      </c>
      <c r="C50" s="13" t="s">
        <v>524</v>
      </c>
      <c r="D50" s="14">
        <v>42009</v>
      </c>
      <c r="E50" s="13" t="str">
        <f>IF(MAPPING___2[[#This Row],[Preferred Address Lines]]&lt;&gt;"", _xlfn.CONCAT(MAPPING___2[[#This Row],[Preferred Address Lines]], ", ",MAPPING___2[[#This Row],[Preferred City_ State]]), "")</f>
        <v>102 West 2nd Street, Duluth, MN</v>
      </c>
    </row>
    <row r="51" spans="1:5" x14ac:dyDescent="0.25">
      <c r="A51" s="13" t="s">
        <v>205</v>
      </c>
      <c r="B51" s="13" t="s">
        <v>206</v>
      </c>
      <c r="C51" s="13" t="s">
        <v>502</v>
      </c>
      <c r="D51" s="14">
        <v>42284</v>
      </c>
      <c r="E51" s="13" t="str">
        <f>IF(MAPPING___2[[#This Row],[Preferred Address Lines]]&lt;&gt;"", _xlfn.CONCAT(MAPPING___2[[#This Row],[Preferred Address Lines]], ", ",MAPPING___2[[#This Row],[Preferred City_ State]]), "")</f>
        <v>1201 E. Lake Street P. O. Box 7313, Minneapolis, MN</v>
      </c>
    </row>
    <row r="52" spans="1:5" x14ac:dyDescent="0.25">
      <c r="A52" s="13" t="s">
        <v>207</v>
      </c>
      <c r="B52" s="13" t="s">
        <v>208</v>
      </c>
      <c r="C52" s="13" t="s">
        <v>502</v>
      </c>
      <c r="D52" s="14">
        <v>42354</v>
      </c>
      <c r="E52" s="13" t="str">
        <f>IF(MAPPING___2[[#This Row],[Preferred Address Lines]]&lt;&gt;"", _xlfn.CONCAT(MAPPING___2[[#This Row],[Preferred Address Lines]], ", ",MAPPING___2[[#This Row],[Preferred City_ State]]), "")</f>
        <v>3715 Chicago Ave, Minneapolis, MN</v>
      </c>
    </row>
    <row r="53" spans="1:5" x14ac:dyDescent="0.25">
      <c r="A53" s="13" t="s">
        <v>209</v>
      </c>
      <c r="B53" s="13" t="s">
        <v>210</v>
      </c>
      <c r="C53" s="13" t="s">
        <v>506</v>
      </c>
      <c r="D53" s="14">
        <v>42808</v>
      </c>
      <c r="E53" s="13" t="str">
        <f>IF(MAPPING___2[[#This Row],[Preferred Address Lines]]&lt;&gt;"", _xlfn.CONCAT(MAPPING___2[[#This Row],[Preferred Address Lines]], ", ",MAPPING___2[[#This Row],[Preferred City_ State]]), "")</f>
        <v>1515 Brewster St, St. Paul, MN</v>
      </c>
    </row>
    <row r="54" spans="1:5" x14ac:dyDescent="0.25">
      <c r="A54" s="13" t="s">
        <v>211</v>
      </c>
      <c r="B54" s="13" t="s">
        <v>212</v>
      </c>
      <c r="C54" s="13" t="s">
        <v>504</v>
      </c>
      <c r="D54" s="14">
        <v>42025</v>
      </c>
      <c r="E54" s="13" t="str">
        <f>IF(MAPPING___2[[#This Row],[Preferred Address Lines]]&lt;&gt;"", _xlfn.CONCAT(MAPPING___2[[#This Row],[Preferred Address Lines]], ", ",MAPPING___2[[#This Row],[Preferred City_ State]]), "")</f>
        <v>3300 County Road 10 Ste 518D, Brooklyn Center, MN</v>
      </c>
    </row>
    <row r="55" spans="1:5" x14ac:dyDescent="0.25">
      <c r="A55" s="13" t="s">
        <v>109</v>
      </c>
      <c r="B55" s="13" t="s">
        <v>213</v>
      </c>
      <c r="C55" s="13" t="s">
        <v>506</v>
      </c>
      <c r="D55" s="14">
        <v>42037</v>
      </c>
      <c r="E55" s="13" t="str">
        <f>IF(MAPPING___2[[#This Row],[Preferred Address Lines]]&lt;&gt;"", _xlfn.CONCAT(MAPPING___2[[#This Row],[Preferred Address Lines]], ", ",MAPPING___2[[#This Row],[Preferred City_ State]]), "")</f>
        <v>275 4th Street E, Ste 482, St. Paul, MN</v>
      </c>
    </row>
    <row r="56" spans="1:5" x14ac:dyDescent="0.25">
      <c r="A56" s="13" t="s">
        <v>214</v>
      </c>
      <c r="B56" s="13" t="s">
        <v>215</v>
      </c>
      <c r="C56" s="13" t="s">
        <v>502</v>
      </c>
      <c r="D56" s="14">
        <v>42006</v>
      </c>
      <c r="E56" s="13" t="str">
        <f>IF(MAPPING___2[[#This Row],[Preferred Address Lines]]&lt;&gt;"", _xlfn.CONCAT(MAPPING___2[[#This Row],[Preferred Address Lines]], ", ",MAPPING___2[[#This Row],[Preferred City_ State]]), "")</f>
        <v>1530 Russell Ave N, Minneapolis, MN</v>
      </c>
    </row>
    <row r="57" spans="1:5" x14ac:dyDescent="0.25">
      <c r="A57" s="13" t="s">
        <v>216</v>
      </c>
      <c r="B57" s="13" t="s">
        <v>217</v>
      </c>
      <c r="C57" s="13" t="s">
        <v>525</v>
      </c>
      <c r="D57" s="14">
        <v>42289</v>
      </c>
      <c r="E57" s="13" t="str">
        <f>IF(MAPPING___2[[#This Row],[Preferred Address Lines]]&lt;&gt;"", _xlfn.CONCAT(MAPPING___2[[#This Row],[Preferred Address Lines]], ", ",MAPPING___2[[#This Row],[Preferred City_ State]]), "")</f>
        <v>7420 Unity Avenue North Suite 310-C, Brooklyn Park, MN</v>
      </c>
    </row>
    <row r="58" spans="1:5" x14ac:dyDescent="0.25">
      <c r="A58" s="13" t="s">
        <v>218</v>
      </c>
      <c r="B58" s="13" t="s">
        <v>219</v>
      </c>
      <c r="C58" s="13" t="s">
        <v>515</v>
      </c>
      <c r="D58" s="14">
        <v>42284</v>
      </c>
      <c r="E58" s="13" t="str">
        <f>IF(MAPPING___2[[#This Row],[Preferred Address Lines]]&lt;&gt;"", _xlfn.CONCAT(MAPPING___2[[#This Row],[Preferred Address Lines]], ", ",MAPPING___2[[#This Row],[Preferred City_ State]]), "")</f>
        <v>145 University Avenue West, Suite 145, Saint Paul, MN</v>
      </c>
    </row>
    <row r="59" spans="1:5" x14ac:dyDescent="0.25">
      <c r="A59" s="13" t="s">
        <v>220</v>
      </c>
      <c r="B59" s="13" t="s">
        <v>221</v>
      </c>
      <c r="C59" s="13" t="s">
        <v>526</v>
      </c>
      <c r="D59" s="14">
        <v>42465</v>
      </c>
      <c r="E59" s="13" t="str">
        <f>IF(MAPPING___2[[#This Row],[Preferred Address Lines]]&lt;&gt;"", _xlfn.CONCAT(MAPPING___2[[#This Row],[Preferred Address Lines]], ", ",MAPPING___2[[#This Row],[Preferred City_ State]]), "")</f>
        <v>310 Bortot Dr #22, Gallup, NM</v>
      </c>
    </row>
    <row r="60" spans="1:5" x14ac:dyDescent="0.25">
      <c r="A60" s="13" t="s">
        <v>110</v>
      </c>
      <c r="B60" s="13" t="s">
        <v>222</v>
      </c>
      <c r="C60" s="13" t="s">
        <v>524</v>
      </c>
      <c r="D60" s="14">
        <v>42013</v>
      </c>
      <c r="E60" s="13" t="str">
        <f>IF(MAPPING___2[[#This Row],[Preferred Address Lines]]&lt;&gt;"", _xlfn.CONCAT(MAPPING___2[[#This Row],[Preferred Address Lines]], ", ",MAPPING___2[[#This Row],[Preferred City_ State]]), "")</f>
        <v>24 N. 21st Ave W, Duluth, MN</v>
      </c>
    </row>
    <row r="61" spans="1:5" x14ac:dyDescent="0.25">
      <c r="A61" s="13" t="s">
        <v>223</v>
      </c>
      <c r="B61" s="13" t="s">
        <v>224</v>
      </c>
      <c r="C61" s="13" t="s">
        <v>502</v>
      </c>
      <c r="D61" s="14">
        <v>42068</v>
      </c>
      <c r="E61" s="13" t="str">
        <f>IF(MAPPING___2[[#This Row],[Preferred Address Lines]]&lt;&gt;"", _xlfn.CONCAT(MAPPING___2[[#This Row],[Preferred Address Lines]], ", ",MAPPING___2[[#This Row],[Preferred City_ State]]), "")</f>
        <v>310 E 38th Street 3rd Floor CRC, Minneapolis, MN</v>
      </c>
    </row>
    <row r="62" spans="1:5" x14ac:dyDescent="0.25">
      <c r="A62" s="13" t="s">
        <v>225</v>
      </c>
      <c r="B62" s="13" t="s">
        <v>226</v>
      </c>
      <c r="C62" s="13" t="s">
        <v>527</v>
      </c>
      <c r="D62" s="14">
        <v>42016</v>
      </c>
      <c r="E62" s="13" t="str">
        <f>IF(MAPPING___2[[#This Row],[Preferred Address Lines]]&lt;&gt;"", _xlfn.CONCAT(MAPPING___2[[#This Row],[Preferred Address Lines]], ", ",MAPPING___2[[#This Row],[Preferred City_ State]]), "")</f>
        <v>23390 Road K, Cortez, CO</v>
      </c>
    </row>
    <row r="63" spans="1:5" x14ac:dyDescent="0.25">
      <c r="A63" s="13" t="s">
        <v>227</v>
      </c>
      <c r="B63" s="13" t="s">
        <v>228</v>
      </c>
      <c r="C63" s="13" t="s">
        <v>502</v>
      </c>
      <c r="D63" s="14">
        <v>42013</v>
      </c>
      <c r="E63" s="13" t="str">
        <f>IF(MAPPING___2[[#This Row],[Preferred Address Lines]]&lt;&gt;"", _xlfn.CONCAT(MAPPING___2[[#This Row],[Preferred Address Lines]], ", ",MAPPING___2[[#This Row],[Preferred City_ State]]), "")</f>
        <v>1610 5th St NE, Minneapolis, MN</v>
      </c>
    </row>
    <row r="64" spans="1:5" x14ac:dyDescent="0.25">
      <c r="A64" s="13" t="s">
        <v>229</v>
      </c>
      <c r="B64" s="13" t="s">
        <v>230</v>
      </c>
      <c r="C64" s="13" t="s">
        <v>502</v>
      </c>
      <c r="D64" s="14">
        <v>42074</v>
      </c>
      <c r="E64" s="13" t="str">
        <f>IF(MAPPING___2[[#This Row],[Preferred Address Lines]]&lt;&gt;"", _xlfn.CONCAT(MAPPING___2[[#This Row],[Preferred Address Lines]], ", ",MAPPING___2[[#This Row],[Preferred City_ State]]), "")</f>
        <v>2528 Pillsbury Ave S, Minneapolis, MN</v>
      </c>
    </row>
    <row r="65" spans="1:5" x14ac:dyDescent="0.25">
      <c r="A65" s="13" t="s">
        <v>231</v>
      </c>
      <c r="B65" s="13" t="s">
        <v>232</v>
      </c>
      <c r="C65" s="13" t="s">
        <v>502</v>
      </c>
      <c r="D65" s="14">
        <v>42893</v>
      </c>
      <c r="E65" s="13" t="str">
        <f>IF(MAPPING___2[[#This Row],[Preferred Address Lines]]&lt;&gt;"", _xlfn.CONCAT(MAPPING___2[[#This Row],[Preferred Address Lines]], ", ",MAPPING___2[[#This Row],[Preferred City_ State]]), "")</f>
        <v>600 18th Ave N, Minneapolis, MN</v>
      </c>
    </row>
    <row r="66" spans="1:5" x14ac:dyDescent="0.25">
      <c r="A66" s="13" t="s">
        <v>40</v>
      </c>
      <c r="B66" s="13" t="s">
        <v>233</v>
      </c>
      <c r="C66" s="13" t="s">
        <v>502</v>
      </c>
      <c r="D66" s="14">
        <v>42647</v>
      </c>
      <c r="E66" s="13" t="str">
        <f>IF(MAPPING___2[[#This Row],[Preferred Address Lines]]&lt;&gt;"", _xlfn.CONCAT(MAPPING___2[[#This Row],[Preferred Address Lines]], ", ",MAPPING___2[[#This Row],[Preferred City_ State]]), "")</f>
        <v>PO Box 14616, Minneapolis, MN</v>
      </c>
    </row>
    <row r="67" spans="1:5" x14ac:dyDescent="0.25">
      <c r="A67" s="13" t="s">
        <v>234</v>
      </c>
      <c r="B67" s="13" t="s">
        <v>235</v>
      </c>
      <c r="C67" s="13" t="s">
        <v>528</v>
      </c>
      <c r="D67" s="14">
        <v>42667</v>
      </c>
      <c r="E67" s="13" t="str">
        <f>IF(MAPPING___2[[#This Row],[Preferred Address Lines]]&lt;&gt;"", _xlfn.CONCAT(MAPPING___2[[#This Row],[Preferred Address Lines]], ", ",MAPPING___2[[#This Row],[Preferred City_ State]]), "")</f>
        <v>50 F Street, NW 8th Floor, Washington, DC</v>
      </c>
    </row>
    <row r="68" spans="1:5" x14ac:dyDescent="0.25">
      <c r="A68" s="13" t="s">
        <v>236</v>
      </c>
      <c r="B68" s="13" t="s">
        <v>237</v>
      </c>
      <c r="C68" s="13" t="s">
        <v>513</v>
      </c>
      <c r="D68" s="14">
        <v>42667</v>
      </c>
      <c r="E68" s="13" t="str">
        <f>IF(MAPPING___2[[#This Row],[Preferred Address Lines]]&lt;&gt;"", _xlfn.CONCAT(MAPPING___2[[#This Row],[Preferred Address Lines]], ", ",MAPPING___2[[#This Row],[Preferred City_ State]]), "")</f>
        <v>220 Fifth Avenue, 2nd Flr. , New York, NY</v>
      </c>
    </row>
    <row r="69" spans="1:5" x14ac:dyDescent="0.25">
      <c r="A69" s="13" t="s">
        <v>238</v>
      </c>
      <c r="B69" s="13" t="s">
        <v>239</v>
      </c>
      <c r="C69" s="13" t="s">
        <v>502</v>
      </c>
      <c r="D69" s="14">
        <v>42646</v>
      </c>
      <c r="E69" s="13" t="str">
        <f>IF(MAPPING___2[[#This Row],[Preferred Address Lines]]&lt;&gt;"", _xlfn.CONCAT(MAPPING___2[[#This Row],[Preferred Address Lines]], ", ",MAPPING___2[[#This Row],[Preferred City_ State]]), "")</f>
        <v>3600 17th Ave #102, Minneapolis, MN</v>
      </c>
    </row>
    <row r="70" spans="1:5" x14ac:dyDescent="0.25">
      <c r="A70" s="13" t="s">
        <v>240</v>
      </c>
      <c r="B70" s="13" t="s">
        <v>241</v>
      </c>
      <c r="C70" s="13" t="s">
        <v>502</v>
      </c>
      <c r="D70" s="14">
        <v>42048</v>
      </c>
      <c r="E70" s="13" t="str">
        <f>IF(MAPPING___2[[#This Row],[Preferred Address Lines]]&lt;&gt;"", _xlfn.CONCAT(MAPPING___2[[#This Row],[Preferred Address Lines]], ", ",MAPPING___2[[#This Row],[Preferred City_ State]]), "")</f>
        <v>711 W Lake St, Ste 101, Minneapolis, MN</v>
      </c>
    </row>
    <row r="71" spans="1:5" x14ac:dyDescent="0.25">
      <c r="A71" s="13" t="s">
        <v>242</v>
      </c>
      <c r="B71" s="13" t="s">
        <v>243</v>
      </c>
      <c r="C71" s="13" t="s">
        <v>529</v>
      </c>
      <c r="D71" s="14">
        <v>42016</v>
      </c>
      <c r="E71" s="13" t="str">
        <f>IF(MAPPING___2[[#This Row],[Preferred Address Lines]]&lt;&gt;"", _xlfn.CONCAT(MAPPING___2[[#This Row],[Preferred Address Lines]], ", ",MAPPING___2[[#This Row],[Preferred City_ State]]), "")</f>
        <v>3980 Broadway Street, Boulder, CO</v>
      </c>
    </row>
    <row r="72" spans="1:5" x14ac:dyDescent="0.25">
      <c r="A72" s="13" t="s">
        <v>244</v>
      </c>
      <c r="B72" s="13" t="s">
        <v>245</v>
      </c>
      <c r="C72" s="13" t="s">
        <v>502</v>
      </c>
      <c r="D72" s="14">
        <v>42037</v>
      </c>
      <c r="E72" s="13" t="str">
        <f>IF(MAPPING___2[[#This Row],[Preferred Address Lines]]&lt;&gt;"", _xlfn.CONCAT(MAPPING___2[[#This Row],[Preferred Address Lines]], ", ",MAPPING___2[[#This Row],[Preferred City_ State]]), "")</f>
        <v>2536 18th Ave S, Minneapolis, MN</v>
      </c>
    </row>
    <row r="73" spans="1:5" x14ac:dyDescent="0.25">
      <c r="A73" s="13" t="s">
        <v>5</v>
      </c>
      <c r="B73" s="13" t="s">
        <v>246</v>
      </c>
      <c r="C73" s="13" t="s">
        <v>506</v>
      </c>
      <c r="D73" s="14">
        <v>42641</v>
      </c>
      <c r="E73" s="13" t="str">
        <f>IF(MAPPING___2[[#This Row],[Preferred Address Lines]]&lt;&gt;"", _xlfn.CONCAT(MAPPING___2[[#This Row],[Preferred Address Lines]], ", ",MAPPING___2[[#This Row],[Preferred City_ State]]), "")</f>
        <v>965 Payne, St. Paul, MN</v>
      </c>
    </row>
    <row r="74" spans="1:5" x14ac:dyDescent="0.25">
      <c r="A74" s="13" t="s">
        <v>247</v>
      </c>
      <c r="B74" s="13" t="s">
        <v>248</v>
      </c>
      <c r="C74" s="13" t="s">
        <v>515</v>
      </c>
      <c r="D74" s="14">
        <v>42284</v>
      </c>
      <c r="E74" s="13" t="str">
        <f>IF(MAPPING___2[[#This Row],[Preferred Address Lines]]&lt;&gt;"", _xlfn.CONCAT(MAPPING___2[[#This Row],[Preferred Address Lines]], ", ",MAPPING___2[[#This Row],[Preferred City_ State]]), "")</f>
        <v>145 University Avenue W Suite 450, Saint Paul, MN</v>
      </c>
    </row>
    <row r="75" spans="1:5" x14ac:dyDescent="0.25">
      <c r="A75" s="13" t="s">
        <v>249</v>
      </c>
      <c r="B75" s="13" t="s">
        <v>250</v>
      </c>
      <c r="C75" s="13" t="s">
        <v>522</v>
      </c>
      <c r="D75" s="14">
        <v>42874</v>
      </c>
      <c r="E75" s="13" t="str">
        <f>IF(MAPPING___2[[#This Row],[Preferred Address Lines]]&lt;&gt;"", _xlfn.CONCAT(MAPPING___2[[#This Row],[Preferred Address Lines]], ", ",MAPPING___2[[#This Row],[Preferred City_ State]]), "")</f>
        <v>8501 54th Avenue North, New Hope, MN</v>
      </c>
    </row>
    <row r="76" spans="1:5" x14ac:dyDescent="0.25">
      <c r="A76" s="13" t="s">
        <v>251</v>
      </c>
      <c r="B76" s="13" t="s">
        <v>252</v>
      </c>
      <c r="C76" s="13" t="s">
        <v>502</v>
      </c>
      <c r="D76" s="14">
        <v>42016</v>
      </c>
      <c r="E76" s="13" t="str">
        <f>IF(MAPPING___2[[#This Row],[Preferred Address Lines]]&lt;&gt;"", _xlfn.CONCAT(MAPPING___2[[#This Row],[Preferred Address Lines]], ", ",MAPPING___2[[#This Row],[Preferred City_ State]]), "")</f>
        <v>2608 Blaisdell Ave S, Minneapolis, MN</v>
      </c>
    </row>
    <row r="77" spans="1:5" x14ac:dyDescent="0.25">
      <c r="A77" s="13" t="s">
        <v>253</v>
      </c>
      <c r="B77" s="13" t="s">
        <v>254</v>
      </c>
      <c r="C77" s="13" t="s">
        <v>502</v>
      </c>
      <c r="D77" s="14">
        <v>42397</v>
      </c>
      <c r="E77" s="13" t="str">
        <f>IF(MAPPING___2[[#This Row],[Preferred Address Lines]]&lt;&gt;"", _xlfn.CONCAT(MAPPING___2[[#This Row],[Preferred Address Lines]], ", ",MAPPING___2[[#This Row],[Preferred City_ State]]), "")</f>
        <v>2801 21st Avenue Sout, Suite 132 B, Minneapolis, MN</v>
      </c>
    </row>
    <row r="78" spans="1:5" x14ac:dyDescent="0.25">
      <c r="A78" s="13" t="s">
        <v>255</v>
      </c>
      <c r="B78" s="13" t="s">
        <v>256</v>
      </c>
      <c r="C78" s="13" t="s">
        <v>530</v>
      </c>
      <c r="D78" s="14">
        <v>42016</v>
      </c>
      <c r="E78" s="13" t="str">
        <f>IF(MAPPING___2[[#This Row],[Preferred Address Lines]]&lt;&gt;"", _xlfn.CONCAT(MAPPING___2[[#This Row],[Preferred Address Lines]], ", ",MAPPING___2[[#This Row],[Preferred City_ State]]), "")</f>
        <v>2841 Snider Lake Road, Waubun, MN</v>
      </c>
    </row>
    <row r="79" spans="1:5" x14ac:dyDescent="0.25">
      <c r="A79" s="13" t="s">
        <v>97</v>
      </c>
      <c r="B79" s="13" t="s">
        <v>257</v>
      </c>
      <c r="C79" s="13" t="s">
        <v>531</v>
      </c>
      <c r="D79" s="14">
        <v>42136</v>
      </c>
      <c r="E79" s="13" t="str">
        <f>IF(MAPPING___2[[#This Row],[Preferred Address Lines]]&lt;&gt;"", _xlfn.CONCAT(MAPPING___2[[#This Row],[Preferred Address Lines]], ", ",MAPPING___2[[#This Row],[Preferred City_ State]]), "")</f>
        <v>P.O. Box 981, St. Cloud, MN</v>
      </c>
    </row>
    <row r="80" spans="1:5" x14ac:dyDescent="0.25">
      <c r="A80" s="13" t="s">
        <v>258</v>
      </c>
      <c r="B80" s="13" t="s">
        <v>259</v>
      </c>
      <c r="C80" s="13" t="s">
        <v>532</v>
      </c>
      <c r="D80" s="14">
        <v>42667</v>
      </c>
      <c r="E80" s="13" t="str">
        <f>IF(MAPPING___2[[#This Row],[Preferred Address Lines]]&lt;&gt;"", _xlfn.CONCAT(MAPPING___2[[#This Row],[Preferred Address Lines]], ", ",MAPPING___2[[#This Row],[Preferred City_ State]]), "")</f>
        <v>6930 Carroll Avenue, Suite 240, Takoma Park, MD</v>
      </c>
    </row>
    <row r="81" spans="1:5" x14ac:dyDescent="0.25">
      <c r="A81" s="13" t="s">
        <v>63</v>
      </c>
      <c r="B81" s="13" t="s">
        <v>260</v>
      </c>
      <c r="C81" s="13" t="s">
        <v>515</v>
      </c>
      <c r="D81" s="14">
        <v>42396</v>
      </c>
      <c r="E81" s="13" t="str">
        <f>IF(MAPPING___2[[#This Row],[Preferred Address Lines]]&lt;&gt;"", _xlfn.CONCAT(MAPPING___2[[#This Row],[Preferred Address Lines]], ", ",MAPPING___2[[#This Row],[Preferred City_ State]]), "")</f>
        <v>1619 Dayton Avenue, Suite 205, Saint Paul, MN</v>
      </c>
    </row>
    <row r="82" spans="1:5" x14ac:dyDescent="0.25">
      <c r="A82" s="13" t="s">
        <v>261</v>
      </c>
      <c r="B82" s="13" t="s">
        <v>262</v>
      </c>
      <c r="C82" s="13" t="s">
        <v>533</v>
      </c>
      <c r="D82" s="14">
        <v>42074</v>
      </c>
      <c r="E82" s="13" t="str">
        <f>IF(MAPPING___2[[#This Row],[Preferred Address Lines]]&lt;&gt;"", _xlfn.CONCAT(MAPPING___2[[#This Row],[Preferred Address Lines]], ", ",MAPPING___2[[#This Row],[Preferred City_ State]]), "")</f>
        <v>PO Box 16745, Tampa, FL</v>
      </c>
    </row>
    <row r="83" spans="1:5" x14ac:dyDescent="0.25">
      <c r="A83" s="13" t="s">
        <v>263</v>
      </c>
      <c r="B83" s="13" t="s">
        <v>264</v>
      </c>
      <c r="C83" s="13" t="s">
        <v>534</v>
      </c>
      <c r="D83" s="14">
        <v>42052</v>
      </c>
      <c r="E83" s="13" t="str">
        <f>IF(MAPPING___2[[#This Row],[Preferred Address Lines]]&lt;&gt;"", _xlfn.CONCAT(MAPPING___2[[#This Row],[Preferred Address Lines]], ", ",MAPPING___2[[#This Row],[Preferred City_ State]]), "")</f>
        <v>6521 St. Vrain Road, Longmont, CO</v>
      </c>
    </row>
    <row r="84" spans="1:5" x14ac:dyDescent="0.25">
      <c r="A84" s="13" t="s">
        <v>265</v>
      </c>
      <c r="B84" s="13" t="s">
        <v>266</v>
      </c>
      <c r="C84" s="13" t="s">
        <v>503</v>
      </c>
      <c r="D84" s="14">
        <v>42048</v>
      </c>
      <c r="E84" s="13" t="str">
        <f>IF(MAPPING___2[[#This Row],[Preferred Address Lines]]&lt;&gt;"", _xlfn.CONCAT(MAPPING___2[[#This Row],[Preferred Address Lines]], ", ",MAPPING___2[[#This Row],[Preferred City_ State]]), "")</f>
        <v>1810 S. Park St., Ste 1, Madison, WI</v>
      </c>
    </row>
    <row r="85" spans="1:5" x14ac:dyDescent="0.25">
      <c r="A85" s="13" t="s">
        <v>267</v>
      </c>
      <c r="B85" s="13" t="s">
        <v>268</v>
      </c>
      <c r="C85" s="13" t="s">
        <v>502</v>
      </c>
      <c r="D85" s="14">
        <v>42285</v>
      </c>
      <c r="E85" s="13" t="str">
        <f>IF(MAPPING___2[[#This Row],[Preferred Address Lines]]&lt;&gt;"", _xlfn.CONCAT(MAPPING___2[[#This Row],[Preferred Address Lines]], ", ",MAPPING___2[[#This Row],[Preferred City_ State]]), "")</f>
        <v>1515 Fremont Ave. N., Minneapolis, MN</v>
      </c>
    </row>
    <row r="86" spans="1:5" x14ac:dyDescent="0.25">
      <c r="A86" s="13" t="s">
        <v>269</v>
      </c>
      <c r="B86" s="13" t="s">
        <v>270</v>
      </c>
      <c r="C86" s="13" t="s">
        <v>535</v>
      </c>
      <c r="D86" s="14">
        <v>42030</v>
      </c>
      <c r="E86" s="13" t="str">
        <f>IF(MAPPING___2[[#This Row],[Preferred Address Lines]]&lt;&gt;"", _xlfn.CONCAT(MAPPING___2[[#This Row],[Preferred Address Lines]], ", ",MAPPING___2[[#This Row],[Preferred City_ State]]), "")</f>
        <v>5429 LBJ Freeway Suite 1000, Dallas, TX</v>
      </c>
    </row>
    <row r="87" spans="1:5" x14ac:dyDescent="0.25">
      <c r="A87" s="13" t="s">
        <v>271</v>
      </c>
      <c r="B87" s="13" t="s">
        <v>272</v>
      </c>
      <c r="C87" s="13" t="s">
        <v>536</v>
      </c>
      <c r="D87" s="14">
        <v>42269</v>
      </c>
      <c r="E87" s="13" t="str">
        <f>IF(MAPPING___2[[#This Row],[Preferred Address Lines]]&lt;&gt;"", _xlfn.CONCAT(MAPPING___2[[#This Row],[Preferred Address Lines]], ", ",MAPPING___2[[#This Row],[Preferred City_ State]]), "")</f>
        <v>1199 North Fairfax Street Suite 300, Alexandria, VA</v>
      </c>
    </row>
    <row r="88" spans="1:5" x14ac:dyDescent="0.25">
      <c r="A88" s="13" t="s">
        <v>273</v>
      </c>
      <c r="B88" s="13" t="s">
        <v>274</v>
      </c>
      <c r="C88" s="13" t="s">
        <v>502</v>
      </c>
      <c r="D88" s="14">
        <v>42874</v>
      </c>
      <c r="E88" s="13" t="str">
        <f>IF(MAPPING___2[[#This Row],[Preferred Address Lines]]&lt;&gt;"", _xlfn.CONCAT(MAPPING___2[[#This Row],[Preferred Address Lines]], ", ",MAPPING___2[[#This Row],[Preferred City_ State]]), "")</f>
        <v>2422 Clinton Avenue South Apt. E14, Minneapolis, MN</v>
      </c>
    </row>
    <row r="89" spans="1:5" x14ac:dyDescent="0.25">
      <c r="A89" s="13" t="s">
        <v>275</v>
      </c>
      <c r="B89" s="13" t="s">
        <v>276</v>
      </c>
      <c r="C89" s="13" t="s">
        <v>537</v>
      </c>
      <c r="D89" s="14">
        <v>42020</v>
      </c>
      <c r="E89" s="13" t="str">
        <f>IF(MAPPING___2[[#This Row],[Preferred Address Lines]]&lt;&gt;"", _xlfn.CONCAT(MAPPING___2[[#This Row],[Preferred Address Lines]], ", ",MAPPING___2[[#This Row],[Preferred City_ State]]), "")</f>
        <v>Box 2924, Durango, CO</v>
      </c>
    </row>
    <row r="90" spans="1:5" x14ac:dyDescent="0.25">
      <c r="A90" s="13" t="s">
        <v>277</v>
      </c>
      <c r="B90" s="13" t="s">
        <v>278</v>
      </c>
      <c r="C90" s="13" t="s">
        <v>531</v>
      </c>
      <c r="D90" s="14">
        <v>42901</v>
      </c>
      <c r="E90" s="13" t="str">
        <f>IF(MAPPING___2[[#This Row],[Preferred Address Lines]]&lt;&gt;"", _xlfn.CONCAT(MAPPING___2[[#This Row],[Preferred Address Lines]], ", ",MAPPING___2[[#This Row],[Preferred City_ State]]), "")</f>
        <v>2719 W Division St Ste 122, St. Cloud, MN</v>
      </c>
    </row>
    <row r="91" spans="1:5" x14ac:dyDescent="0.25">
      <c r="A91" s="13" t="s">
        <v>114</v>
      </c>
      <c r="B91" s="13" t="s">
        <v>279</v>
      </c>
      <c r="C91" s="13" t="s">
        <v>538</v>
      </c>
      <c r="D91" s="14">
        <v>42009</v>
      </c>
      <c r="E91" s="13" t="str">
        <f>IF(MAPPING___2[[#This Row],[Preferred Address Lines]]&lt;&gt;"", _xlfn.CONCAT(MAPPING___2[[#This Row],[Preferred Address Lines]], ", ",MAPPING___2[[#This Row],[Preferred City_ State]]), "")</f>
        <v>University of California, Berkeley 460 Stephens Hall, Berkeley, CA</v>
      </c>
    </row>
    <row r="92" spans="1:5" x14ac:dyDescent="0.25">
      <c r="A92" s="13" t="s">
        <v>50</v>
      </c>
      <c r="B92" s="13" t="s">
        <v>280</v>
      </c>
      <c r="C92" s="13" t="s">
        <v>515</v>
      </c>
      <c r="D92" s="14">
        <v>42536</v>
      </c>
      <c r="E92" s="13" t="str">
        <f>IF(MAPPING___2[[#This Row],[Preferred Address Lines]]&lt;&gt;"", _xlfn.CONCAT(MAPPING___2[[#This Row],[Preferred Address Lines]], ", ",MAPPING___2[[#This Row],[Preferred City_ State]]), "")</f>
        <v>270 North Kent Street, Saint Paul, MN</v>
      </c>
    </row>
    <row r="93" spans="1:5" x14ac:dyDescent="0.25">
      <c r="A93" s="13" t="s">
        <v>281</v>
      </c>
      <c r="B93" s="13" t="s">
        <v>282</v>
      </c>
      <c r="C93" s="13" t="s">
        <v>539</v>
      </c>
      <c r="D93" s="14">
        <v>42289</v>
      </c>
      <c r="E93" s="13" t="str">
        <f>IF(MAPPING___2[[#This Row],[Preferred Address Lines]]&lt;&gt;"", _xlfn.CONCAT(MAPPING___2[[#This Row],[Preferred Address Lines]], ", ",MAPPING___2[[#This Row],[Preferred City_ State]]), "")</f>
        <v>3978 West Broadway, Robbinsdale, MN</v>
      </c>
    </row>
    <row r="94" spans="1:5" x14ac:dyDescent="0.25">
      <c r="A94" s="13" t="s">
        <v>283</v>
      </c>
      <c r="B94" s="13" t="s">
        <v>284</v>
      </c>
      <c r="C94" s="13" t="s">
        <v>502</v>
      </c>
      <c r="D94" s="14">
        <v>42075</v>
      </c>
      <c r="E94" s="13" t="str">
        <f>IF(MAPPING___2[[#This Row],[Preferred Address Lines]]&lt;&gt;"", _xlfn.CONCAT(MAPPING___2[[#This Row],[Preferred Address Lines]], ", ",MAPPING___2[[#This Row],[Preferred City_ State]]), "")</f>
        <v>3442 25th Ave S., Minneapolis, MN</v>
      </c>
    </row>
    <row r="95" spans="1:5" x14ac:dyDescent="0.25">
      <c r="A95" s="13" t="s">
        <v>98</v>
      </c>
      <c r="B95" s="13" t="s">
        <v>285</v>
      </c>
      <c r="C95" s="13" t="s">
        <v>502</v>
      </c>
      <c r="D95" s="14">
        <v>42174</v>
      </c>
      <c r="E95" s="13" t="str">
        <f>IF(MAPPING___2[[#This Row],[Preferred Address Lines]]&lt;&gt;"", _xlfn.CONCAT(MAPPING___2[[#This Row],[Preferred Address Lines]], ", ",MAPPING___2[[#This Row],[Preferred City_ State]]), "")</f>
        <v>1000 Olson Memorial Highway, Minneapolis, MN</v>
      </c>
    </row>
    <row r="96" spans="1:5" x14ac:dyDescent="0.25">
      <c r="A96" s="13" t="s">
        <v>286</v>
      </c>
      <c r="B96" s="13" t="s">
        <v>287</v>
      </c>
      <c r="C96" s="13" t="s">
        <v>540</v>
      </c>
      <c r="D96" s="14">
        <v>42074</v>
      </c>
      <c r="E96" s="13" t="str">
        <f>IF(MAPPING___2[[#This Row],[Preferred Address Lines]]&lt;&gt;"", _xlfn.CONCAT(MAPPING___2[[#This Row],[Preferred Address Lines]], ", ",MAPPING___2[[#This Row],[Preferred City_ State]]), "")</f>
        <v>PO Box 863, Dickinson, ND</v>
      </c>
    </row>
    <row r="97" spans="1:5" x14ac:dyDescent="0.25">
      <c r="A97" s="13" t="s">
        <v>288</v>
      </c>
      <c r="B97" s="13" t="s">
        <v>289</v>
      </c>
      <c r="C97" s="13" t="s">
        <v>502</v>
      </c>
      <c r="D97" s="14">
        <v>42291</v>
      </c>
      <c r="E97" s="13" t="str">
        <f>IF(MAPPING___2[[#This Row],[Preferred Address Lines]]&lt;&gt;"", _xlfn.CONCAT(MAPPING___2[[#This Row],[Preferred Address Lines]], ", ",MAPPING___2[[#This Row],[Preferred City_ State]]), "")</f>
        <v>2200 Bryant Ave. S. Apt 104, Minneapolis, MN</v>
      </c>
    </row>
    <row r="98" spans="1:5" x14ac:dyDescent="0.25">
      <c r="A98" s="13" t="s">
        <v>51</v>
      </c>
      <c r="B98" s="13" t="s">
        <v>290</v>
      </c>
      <c r="C98" s="13" t="s">
        <v>541</v>
      </c>
      <c r="D98" s="14">
        <v>42522</v>
      </c>
      <c r="E98" s="13" t="str">
        <f>IF(MAPPING___2[[#This Row],[Preferred Address Lines]]&lt;&gt;"", _xlfn.CONCAT(MAPPING___2[[#This Row],[Preferred Address Lines]], ", ",MAPPING___2[[#This Row],[Preferred City_ State]]), "")</f>
        <v>1407 West 4th St, Red Wing, MN</v>
      </c>
    </row>
    <row r="99" spans="1:5" x14ac:dyDescent="0.25">
      <c r="A99" s="13" t="s">
        <v>291</v>
      </c>
      <c r="B99" s="13" t="s">
        <v>292</v>
      </c>
      <c r="C99" s="13" t="s">
        <v>502</v>
      </c>
      <c r="D99" s="14">
        <v>42901</v>
      </c>
      <c r="E99" s="13" t="str">
        <f>IF(MAPPING___2[[#This Row],[Preferred Address Lines]]&lt;&gt;"", _xlfn.CONCAT(MAPPING___2[[#This Row],[Preferred Address Lines]], ", ",MAPPING___2[[#This Row],[Preferred City_ State]]), "")</f>
        <v>2900 Fremont Avenue North, Suite 108, Minneapolis, MN</v>
      </c>
    </row>
    <row r="100" spans="1:5" x14ac:dyDescent="0.25">
      <c r="A100" s="13" t="s">
        <v>293</v>
      </c>
      <c r="B100" s="13" t="s">
        <v>294</v>
      </c>
      <c r="C100" s="13" t="s">
        <v>542</v>
      </c>
      <c r="D100" s="14">
        <v>42410</v>
      </c>
      <c r="E100" s="13" t="str">
        <f>IF(MAPPING___2[[#This Row],[Preferred Address Lines]]&lt;&gt;"", _xlfn.CONCAT(MAPPING___2[[#This Row],[Preferred Address Lines]], ", ",MAPPING___2[[#This Row],[Preferred City_ State]]), "")</f>
        <v>2965 Spring Lake Road SW, Prior Lake, MN</v>
      </c>
    </row>
    <row r="101" spans="1:5" x14ac:dyDescent="0.25">
      <c r="A101" s="13" t="s">
        <v>295</v>
      </c>
      <c r="B101" s="13" t="s">
        <v>296</v>
      </c>
      <c r="C101" s="13" t="s">
        <v>543</v>
      </c>
      <c r="D101" s="14">
        <v>42384</v>
      </c>
      <c r="E101" s="13" t="str">
        <f>IF(MAPPING___2[[#This Row],[Preferred Address Lines]]&lt;&gt;"", _xlfn.CONCAT(MAPPING___2[[#This Row],[Preferred Address Lines]], ", ",MAPPING___2[[#This Row],[Preferred City_ State]]), "")</f>
        <v>2511 East Frankline Ave, Suite 100, Minneapolis MN, MN</v>
      </c>
    </row>
    <row r="102" spans="1:5" x14ac:dyDescent="0.25">
      <c r="A102" s="13" t="s">
        <v>64</v>
      </c>
      <c r="B102" s="13" t="s">
        <v>297</v>
      </c>
      <c r="C102" s="13" t="s">
        <v>515</v>
      </c>
      <c r="D102" s="14">
        <v>42397</v>
      </c>
      <c r="E102" s="13" t="str">
        <f>IF(MAPPING___2[[#This Row],[Preferred Address Lines]]&lt;&gt;"", _xlfn.CONCAT(MAPPING___2[[#This Row],[Preferred Address Lines]], ", ",MAPPING___2[[#This Row],[Preferred City_ State]]), "")</f>
        <v>444 Lexington Parkway South, Unit 1, Saint Paul, MN</v>
      </c>
    </row>
    <row r="103" spans="1:5" x14ac:dyDescent="0.25">
      <c r="A103" s="13" t="s">
        <v>298</v>
      </c>
      <c r="B103" s="13" t="s">
        <v>299</v>
      </c>
      <c r="C103" s="13" t="s">
        <v>544</v>
      </c>
      <c r="D103" s="14">
        <v>42368</v>
      </c>
      <c r="E103" s="13" t="str">
        <f>IF(MAPPING___2[[#This Row],[Preferred Address Lines]]&lt;&gt;"", _xlfn.CONCAT(MAPPING___2[[#This Row],[Preferred Address Lines]], ", ",MAPPING___2[[#This Row],[Preferred City_ State]]), "")</f>
        <v>PO Box 366 , Fort Chipewyan, AB</v>
      </c>
    </row>
    <row r="104" spans="1:5" x14ac:dyDescent="0.25">
      <c r="A104" s="13" t="s">
        <v>28</v>
      </c>
      <c r="B104" s="13" t="s">
        <v>300</v>
      </c>
      <c r="C104" s="13" t="s">
        <v>515</v>
      </c>
      <c r="D104" s="14">
        <v>42648</v>
      </c>
      <c r="E104" s="13" t="str">
        <f>IF(MAPPING___2[[#This Row],[Preferred Address Lines]]&lt;&gt;"", _xlfn.CONCAT(MAPPING___2[[#This Row],[Preferred Address Lines]], ", ",MAPPING___2[[#This Row],[Preferred City_ State]]), "")</f>
        <v>24 Nelson Street, Saint Paul, MN</v>
      </c>
    </row>
    <row r="105" spans="1:5" x14ac:dyDescent="0.25">
      <c r="A105" s="13" t="s">
        <v>61</v>
      </c>
      <c r="B105" s="13" t="s">
        <v>301</v>
      </c>
      <c r="C105" s="13" t="s">
        <v>502</v>
      </c>
      <c r="D105" s="14">
        <v>42292</v>
      </c>
      <c r="E105" s="13" t="str">
        <f>IF(MAPPING___2[[#This Row],[Preferred Address Lines]]&lt;&gt;"", _xlfn.CONCAT(MAPPING___2[[#This Row],[Preferred Address Lines]], ", ",MAPPING___2[[#This Row],[Preferred City_ State]]), "")</f>
        <v>4139 Garfield Avenue, Minneapolis, MN</v>
      </c>
    </row>
    <row r="106" spans="1:5" x14ac:dyDescent="0.25">
      <c r="A106" s="13" t="s">
        <v>302</v>
      </c>
      <c r="B106" s="13" t="s">
        <v>303</v>
      </c>
      <c r="C106" s="13" t="s">
        <v>545</v>
      </c>
      <c r="D106" s="14">
        <v>42016</v>
      </c>
      <c r="E106" s="13" t="str">
        <f>IF(MAPPING___2[[#This Row],[Preferred Address Lines]]&lt;&gt;"", _xlfn.CONCAT(MAPPING___2[[#This Row],[Preferred Address Lines]], ", ",MAPPING___2[[#This Row],[Preferred City_ State]]), "")</f>
        <v>1009 General Kennedy Ave #2, San Francisco, CA</v>
      </c>
    </row>
    <row r="107" spans="1:5" x14ac:dyDescent="0.25">
      <c r="A107" s="13" t="s">
        <v>304</v>
      </c>
      <c r="B107" s="13" t="s">
        <v>305</v>
      </c>
      <c r="C107" s="13" t="s">
        <v>546</v>
      </c>
      <c r="D107" s="14">
        <v>42067</v>
      </c>
      <c r="E107" s="13" t="str">
        <f>IF(MAPPING___2[[#This Row],[Preferred Address Lines]]&lt;&gt;"", _xlfn.CONCAT(MAPPING___2[[#This Row],[Preferred Address Lines]], ", ",MAPPING___2[[#This Row],[Preferred City_ State]]), "")</f>
        <v>PO Box 25, Rosebud, SD</v>
      </c>
    </row>
    <row r="108" spans="1:5" x14ac:dyDescent="0.25">
      <c r="A108" s="13" t="s">
        <v>306</v>
      </c>
      <c r="B108" s="13" t="s">
        <v>307</v>
      </c>
      <c r="C108" s="13" t="s">
        <v>547</v>
      </c>
      <c r="D108" s="14">
        <v>42012</v>
      </c>
      <c r="E108" s="13" t="str">
        <f>IF(MAPPING___2[[#This Row],[Preferred Address Lines]]&lt;&gt;"", _xlfn.CONCAT(MAPPING___2[[#This Row],[Preferred Address Lines]], ", ",MAPPING___2[[#This Row],[Preferred City_ State]]), "")</f>
        <v>2500 E 80th St, Inver Grove Heights, MN</v>
      </c>
    </row>
    <row r="109" spans="1:5" x14ac:dyDescent="0.25">
      <c r="A109" s="13" t="s">
        <v>308</v>
      </c>
      <c r="B109" s="13" t="s">
        <v>309</v>
      </c>
      <c r="C109" s="13" t="s">
        <v>506</v>
      </c>
      <c r="D109" s="14">
        <v>42074</v>
      </c>
      <c r="E109" s="13" t="str">
        <f>IF(MAPPING___2[[#This Row],[Preferred Address Lines]]&lt;&gt;"", _xlfn.CONCAT(MAPPING___2[[#This Row],[Preferred Address Lines]], ", ",MAPPING___2[[#This Row],[Preferred City_ State]]), "")</f>
        <v>1637 Wilson Ave., St. Paul, MN</v>
      </c>
    </row>
    <row r="110" spans="1:5" x14ac:dyDescent="0.25">
      <c r="A110" s="13" t="s">
        <v>310</v>
      </c>
      <c r="B110" s="13" t="s">
        <v>311</v>
      </c>
      <c r="C110" s="13" t="s">
        <v>548</v>
      </c>
      <c r="D110" s="14">
        <v>42422</v>
      </c>
      <c r="E110" s="13" t="str">
        <f>IF(MAPPING___2[[#This Row],[Preferred Address Lines]]&lt;&gt;"", _xlfn.CONCAT(MAPPING___2[[#This Row],[Preferred Address Lines]], ", ",MAPPING___2[[#This Row],[Preferred City_ State]]), "")</f>
        <v>227 East Main st, Mankato, MN</v>
      </c>
    </row>
    <row r="111" spans="1:5" x14ac:dyDescent="0.25">
      <c r="A111" s="13" t="s">
        <v>312</v>
      </c>
      <c r="B111" s="13" t="s">
        <v>313</v>
      </c>
      <c r="C111" s="13" t="s">
        <v>549</v>
      </c>
      <c r="D111" s="14">
        <v>42506</v>
      </c>
      <c r="E111" s="13" t="str">
        <f>IF(MAPPING___2[[#This Row],[Preferred Address Lines]]&lt;&gt;"", _xlfn.CONCAT(MAPPING___2[[#This Row],[Preferred Address Lines]], ", ",MAPPING___2[[#This Row],[Preferred City_ State]]), "")</f>
        <v>1611 Telegraph Avenue, Suite 1020, Oakland, CA</v>
      </c>
    </row>
    <row r="112" spans="1:5" x14ac:dyDescent="0.25">
      <c r="A112" s="13" t="s">
        <v>29</v>
      </c>
      <c r="B112" s="13" t="s">
        <v>314</v>
      </c>
      <c r="C112" s="13" t="s">
        <v>502</v>
      </c>
      <c r="D112" s="14">
        <v>42377</v>
      </c>
      <c r="E112" s="13" t="str">
        <f>IF(MAPPING___2[[#This Row],[Preferred Address Lines]]&lt;&gt;"", _xlfn.CONCAT(MAPPING___2[[#This Row],[Preferred Address Lines]], ", ",MAPPING___2[[#This Row],[Preferred City_ State]]), "")</f>
        <v>2800 Fremont avenue North, suite 108, Minneapolis, MN</v>
      </c>
    </row>
    <row r="113" spans="1:5" x14ac:dyDescent="0.25">
      <c r="A113" s="13" t="s">
        <v>55</v>
      </c>
      <c r="B113" s="13" t="s">
        <v>315</v>
      </c>
      <c r="C113" s="13" t="s">
        <v>550</v>
      </c>
      <c r="D113" s="14">
        <v>42398</v>
      </c>
      <c r="E113" s="13" t="str">
        <f>IF(MAPPING___2[[#This Row],[Preferred Address Lines]]&lt;&gt;"", _xlfn.CONCAT(MAPPING___2[[#This Row],[Preferred Address Lines]], ", ",MAPPING___2[[#This Row],[Preferred City_ State]]), "")</f>
        <v>3000 5th Street NW, New Brighton, MN</v>
      </c>
    </row>
    <row r="114" spans="1:5" x14ac:dyDescent="0.25">
      <c r="A114" s="13" t="s">
        <v>316</v>
      </c>
      <c r="B114" s="13" t="s">
        <v>317</v>
      </c>
      <c r="C114" s="13" t="s">
        <v>551</v>
      </c>
      <c r="D114" s="14">
        <v>42080</v>
      </c>
      <c r="E114" s="13" t="str">
        <f>IF(MAPPING___2[[#This Row],[Preferred Address Lines]]&lt;&gt;"", _xlfn.CONCAT(MAPPING___2[[#This Row],[Preferred Address Lines]], ", ",MAPPING___2[[#This Row],[Preferred City_ State]]), "")</f>
        <v>Box 1707, Athabasca, AB</v>
      </c>
    </row>
    <row r="115" spans="1:5" x14ac:dyDescent="0.25">
      <c r="A115" s="13" t="s">
        <v>318</v>
      </c>
      <c r="B115" s="13" t="s">
        <v>319</v>
      </c>
      <c r="C115" s="13" t="s">
        <v>502</v>
      </c>
      <c r="D115" s="14">
        <v>42901</v>
      </c>
      <c r="E115" s="13" t="str">
        <f>IF(MAPPING___2[[#This Row],[Preferred Address Lines]]&lt;&gt;"", _xlfn.CONCAT(MAPPING___2[[#This Row],[Preferred Address Lines]], ", ",MAPPING___2[[#This Row],[Preferred City_ State]]), "")</f>
        <v>3548 Bryant Ave S, Minneapolis, MN</v>
      </c>
    </row>
    <row r="116" spans="1:5" x14ac:dyDescent="0.25">
      <c r="A116" s="13" t="s">
        <v>320</v>
      </c>
      <c r="B116" s="13" t="s">
        <v>321</v>
      </c>
      <c r="C116" s="13" t="s">
        <v>552</v>
      </c>
      <c r="D116" s="14">
        <v>42899</v>
      </c>
      <c r="E116" s="13" t="str">
        <f>IF(MAPPING___2[[#This Row],[Preferred Address Lines]]&lt;&gt;"", _xlfn.CONCAT(MAPPING___2[[#This Row],[Preferred Address Lines]], ", ",MAPPING___2[[#This Row],[Preferred City_ State]]), "")</f>
        <v>941 Lafond Ave W Suite 100, St Paul, MN</v>
      </c>
    </row>
    <row r="117" spans="1:5" x14ac:dyDescent="0.25">
      <c r="A117" s="13" t="s">
        <v>322</v>
      </c>
      <c r="B117" s="13" t="s">
        <v>323</v>
      </c>
      <c r="C117" s="13" t="s">
        <v>506</v>
      </c>
      <c r="D117" s="14">
        <v>42354</v>
      </c>
      <c r="E117" s="13" t="str">
        <f>IF(MAPPING___2[[#This Row],[Preferred Address Lines]]&lt;&gt;"", _xlfn.CONCAT(MAPPING___2[[#This Row],[Preferred Address Lines]], ", ",MAPPING___2[[#This Row],[Preferred City_ State]]), "")</f>
        <v>444 Lexington Pkwy S Unit 1, St. Paul, MN</v>
      </c>
    </row>
    <row r="118" spans="1:5" x14ac:dyDescent="0.25">
      <c r="A118" s="13" t="s">
        <v>324</v>
      </c>
      <c r="B118" s="13" t="s">
        <v>325</v>
      </c>
      <c r="C118" s="13" t="s">
        <v>553</v>
      </c>
      <c r="D118" s="14">
        <v>42297</v>
      </c>
      <c r="E118" s="13" t="str">
        <f>IF(MAPPING___2[[#This Row],[Preferred Address Lines]]&lt;&gt;"", _xlfn.CONCAT(MAPPING___2[[#This Row],[Preferred Address Lines]], ", ",MAPPING___2[[#This Row],[Preferred City_ State]]), "")</f>
        <v>180 E. Mian, Lewiston, MN</v>
      </c>
    </row>
    <row r="119" spans="1:5" x14ac:dyDescent="0.25">
      <c r="A119" s="13" t="s">
        <v>326</v>
      </c>
      <c r="B119" s="13" t="s">
        <v>327</v>
      </c>
      <c r="C119" s="13" t="s">
        <v>502</v>
      </c>
      <c r="D119" s="14">
        <v>42010</v>
      </c>
      <c r="E119" s="13" t="str">
        <f>IF(MAPPING___2[[#This Row],[Preferred Address Lines]]&lt;&gt;"", _xlfn.CONCAT(MAPPING___2[[#This Row],[Preferred Address Lines]], ", ",MAPPING___2[[#This Row],[Preferred City_ State]]), "")</f>
        <v>1228 2nd St NE, Minneapolis, MN</v>
      </c>
    </row>
    <row r="120" spans="1:5" x14ac:dyDescent="0.25">
      <c r="A120" s="13" t="s">
        <v>328</v>
      </c>
      <c r="B120" s="13" t="s">
        <v>329</v>
      </c>
      <c r="C120" s="13" t="s">
        <v>554</v>
      </c>
      <c r="D120" s="14">
        <v>42895</v>
      </c>
      <c r="E120" s="13" t="str">
        <f>IF(MAPPING___2[[#This Row],[Preferred Address Lines]]&lt;&gt;"", _xlfn.CONCAT(MAPPING___2[[#This Row],[Preferred Address Lines]], ", ",MAPPING___2[[#This Row],[Preferred City_ State]]), "")</f>
        <v>P.O. Box 14127, St.  Paul, MN</v>
      </c>
    </row>
    <row r="121" spans="1:5" x14ac:dyDescent="0.25">
      <c r="A121" s="13" t="s">
        <v>330</v>
      </c>
      <c r="B121" s="13" t="s">
        <v>331</v>
      </c>
      <c r="C121" s="13" t="s">
        <v>555</v>
      </c>
      <c r="D121" s="14">
        <v>42074</v>
      </c>
      <c r="E121" s="13" t="str">
        <f>IF(MAPPING___2[[#This Row],[Preferred Address Lines]]&lt;&gt;"", _xlfn.CONCAT(MAPPING___2[[#This Row],[Preferred Address Lines]], ", ",MAPPING___2[[#This Row],[Preferred City_ State]]), "")</f>
        <v>3070 Drexmore Drive, Cuyahoga Falls, OH</v>
      </c>
    </row>
    <row r="122" spans="1:5" x14ac:dyDescent="0.25">
      <c r="A122" s="13" t="s">
        <v>332</v>
      </c>
      <c r="B122" s="13" t="s">
        <v>333</v>
      </c>
      <c r="C122" s="13" t="s">
        <v>556</v>
      </c>
      <c r="D122" s="14">
        <v>42080</v>
      </c>
      <c r="E122" s="13" t="str">
        <f>IF(MAPPING___2[[#This Row],[Preferred Address Lines]]&lt;&gt;"", _xlfn.CONCAT(MAPPING___2[[#This Row],[Preferred Address Lines]], ", ",MAPPING___2[[#This Row],[Preferred City_ State]]), "")</f>
        <v>106 Sandalwood Drive, Gray, LA</v>
      </c>
    </row>
    <row r="123" spans="1:5" x14ac:dyDescent="0.25">
      <c r="A123" s="13" t="s">
        <v>334</v>
      </c>
      <c r="B123" s="13" t="s">
        <v>335</v>
      </c>
      <c r="C123" s="13" t="s">
        <v>557</v>
      </c>
      <c r="D123" s="14">
        <v>42046</v>
      </c>
      <c r="E123" s="13" t="str">
        <f>IF(MAPPING___2[[#This Row],[Preferred Address Lines]]&lt;&gt;"", _xlfn.CONCAT(MAPPING___2[[#This Row],[Preferred Address Lines]], ", ",MAPPING___2[[#This Row],[Preferred City_ State]]), "")</f>
        <v>PO Box 1351, Little Buffalo, AB</v>
      </c>
    </row>
    <row r="124" spans="1:5" x14ac:dyDescent="0.25">
      <c r="A124" s="13" t="s">
        <v>336</v>
      </c>
      <c r="B124" s="13" t="s">
        <v>337</v>
      </c>
      <c r="C124" s="13" t="s">
        <v>506</v>
      </c>
      <c r="D124" s="14">
        <v>42268</v>
      </c>
      <c r="E124" s="13" t="str">
        <f>IF(MAPPING___2[[#This Row],[Preferred Address Lines]]&lt;&gt;"", _xlfn.CONCAT(MAPPING___2[[#This Row],[Preferred Address Lines]], ", ",MAPPING___2[[#This Row],[Preferred City_ State]]), "")</f>
        <v>1961 Selby Avenue, St. Paul, MN</v>
      </c>
    </row>
    <row r="125" spans="1:5" x14ac:dyDescent="0.25">
      <c r="A125" s="13" t="s">
        <v>338</v>
      </c>
      <c r="B125" s="13" t="s">
        <v>339</v>
      </c>
      <c r="C125" s="13" t="s">
        <v>558</v>
      </c>
      <c r="D125" s="14">
        <v>42408</v>
      </c>
      <c r="E125" s="13" t="str">
        <f>IF(MAPPING___2[[#This Row],[Preferred Address Lines]]&lt;&gt;"", _xlfn.CONCAT(MAPPING___2[[#This Row],[Preferred Address Lines]], ", ",MAPPING___2[[#This Row],[Preferred City_ State]]), "")</f>
        <v>165 Jordan Drive, Apt 19, Granite Falls, MN</v>
      </c>
    </row>
    <row r="126" spans="1:5" x14ac:dyDescent="0.25">
      <c r="A126" s="13" t="s">
        <v>30</v>
      </c>
      <c r="B126" s="13" t="s">
        <v>340</v>
      </c>
      <c r="C126" s="13" t="s">
        <v>502</v>
      </c>
      <c r="D126" s="14">
        <v>42048</v>
      </c>
      <c r="E126" s="13" t="str">
        <f>IF(MAPPING___2[[#This Row],[Preferred Address Lines]]&lt;&gt;"", _xlfn.CONCAT(MAPPING___2[[#This Row],[Preferred Address Lines]], ", ",MAPPING___2[[#This Row],[Preferred City_ State]]), "")</f>
        <v>PO Box 6223, Minneapolis, MN</v>
      </c>
    </row>
    <row r="127" spans="1:5" x14ac:dyDescent="0.25">
      <c r="A127" s="13" t="s">
        <v>341</v>
      </c>
      <c r="B127" s="13" t="s">
        <v>342</v>
      </c>
      <c r="C127" s="13" t="s">
        <v>516</v>
      </c>
      <c r="D127" s="14">
        <v>42283</v>
      </c>
      <c r="E127" s="13" t="str">
        <f>IF(MAPPING___2[[#This Row],[Preferred Address Lines]]&lt;&gt;"", _xlfn.CONCAT(MAPPING___2[[#This Row],[Preferred Address Lines]], ", ",MAPPING___2[[#This Row],[Preferred City_ State]]), "")</f>
        <v>1008 2nd St SE, Bemidji, MN</v>
      </c>
    </row>
    <row r="128" spans="1:5" x14ac:dyDescent="0.25">
      <c r="A128" s="13" t="s">
        <v>343</v>
      </c>
      <c r="B128" s="13" t="s">
        <v>344</v>
      </c>
      <c r="C128" s="13" t="s">
        <v>559</v>
      </c>
      <c r="D128" s="14">
        <v>42229</v>
      </c>
      <c r="E128" s="13" t="str">
        <f>IF(MAPPING___2[[#This Row],[Preferred Address Lines]]&lt;&gt;"", _xlfn.CONCAT(MAPPING___2[[#This Row],[Preferred Address Lines]], ", ",MAPPING___2[[#This Row],[Preferred City_ State]]), "")</f>
        <v>14506 Augiaush Road, Bagley, MN</v>
      </c>
    </row>
    <row r="129" spans="1:5" x14ac:dyDescent="0.25">
      <c r="A129" s="13" t="s">
        <v>345</v>
      </c>
      <c r="B129" s="13" t="s">
        <v>346</v>
      </c>
      <c r="C129" s="13" t="s">
        <v>560</v>
      </c>
      <c r="D129" s="14">
        <v>42397</v>
      </c>
      <c r="E129" s="13" t="str">
        <f>IF(MAPPING___2[[#This Row],[Preferred Address Lines]]&lt;&gt;"", _xlfn.CONCAT(MAPPING___2[[#This Row],[Preferred Address Lines]], ", ",MAPPING___2[[#This Row],[Preferred City_ State]]), "")</f>
        <v>PO Box 7204, Olympia, WA</v>
      </c>
    </row>
    <row r="130" spans="1:5" x14ac:dyDescent="0.25">
      <c r="A130" s="13" t="s">
        <v>347</v>
      </c>
      <c r="B130" s="13" t="s">
        <v>348</v>
      </c>
      <c r="C130" s="13" t="s">
        <v>515</v>
      </c>
      <c r="D130" s="14">
        <v>42867</v>
      </c>
      <c r="E130" s="13" t="str">
        <f>IF(MAPPING___2[[#This Row],[Preferred Address Lines]]&lt;&gt;"", _xlfn.CONCAT(MAPPING___2[[#This Row],[Preferred Address Lines]], ", ",MAPPING___2[[#This Row],[Preferred City_ State]]), "")</f>
        <v>579 Wells Street, Saint Paul, MN</v>
      </c>
    </row>
    <row r="131" spans="1:5" x14ac:dyDescent="0.25">
      <c r="A131" s="13" t="s">
        <v>349</v>
      </c>
      <c r="B131" s="13" t="s">
        <v>350</v>
      </c>
      <c r="C131" s="13" t="s">
        <v>552</v>
      </c>
      <c r="D131" s="14">
        <v>42850</v>
      </c>
      <c r="E131" s="13" t="str">
        <f>IF(MAPPING___2[[#This Row],[Preferred Address Lines]]&lt;&gt;"", _xlfn.CONCAT(MAPPING___2[[#This Row],[Preferred Address Lines]], ", ",MAPPING___2[[#This Row],[Preferred City_ State]]), "")</f>
        <v>1783 Buerkle Circle, St Paul, MN</v>
      </c>
    </row>
    <row r="132" spans="1:5" x14ac:dyDescent="0.25">
      <c r="A132" s="13" t="s">
        <v>351</v>
      </c>
      <c r="B132" s="13" t="s">
        <v>352</v>
      </c>
      <c r="C132" s="13" t="s">
        <v>561</v>
      </c>
      <c r="D132" s="14">
        <v>42380</v>
      </c>
      <c r="E132" s="13" t="str">
        <f>IF(MAPPING___2[[#This Row],[Preferred Address Lines]]&lt;&gt;"", _xlfn.CONCAT(MAPPING___2[[#This Row],[Preferred Address Lines]], ", ",MAPPING___2[[#This Row],[Preferred City_ State]]), "")</f>
        <v>3460 West Lawrence Avenue, Chicago, IL</v>
      </c>
    </row>
    <row r="133" spans="1:5" x14ac:dyDescent="0.25">
      <c r="A133" s="13" t="s">
        <v>22</v>
      </c>
      <c r="B133" s="13" t="s">
        <v>149</v>
      </c>
      <c r="C133" s="13" t="s">
        <v>149</v>
      </c>
      <c r="D133" s="14">
        <v>42768</v>
      </c>
      <c r="E133" s="13" t="str">
        <f>IF(MAPPING___2[[#This Row],[Preferred Address Lines]]&lt;&gt;"", _xlfn.CONCAT(MAPPING___2[[#This Row],[Preferred Address Lines]], ", ",MAPPING___2[[#This Row],[Preferred City_ State]]), "")</f>
        <v/>
      </c>
    </row>
    <row r="134" spans="1:5" x14ac:dyDescent="0.25">
      <c r="A134" s="13" t="s">
        <v>111</v>
      </c>
      <c r="B134" s="13" t="s">
        <v>353</v>
      </c>
      <c r="C134" s="13" t="s">
        <v>502</v>
      </c>
      <c r="D134" s="14">
        <v>42075</v>
      </c>
      <c r="E134" s="13" t="str">
        <f>IF(MAPPING___2[[#This Row],[Preferred Address Lines]]&lt;&gt;"", _xlfn.CONCAT(MAPPING___2[[#This Row],[Preferred Address Lines]], ", ",MAPPING___2[[#This Row],[Preferred City_ State]]), "")</f>
        <v>2104 Stevens Ave. S., Minneapolis, MN</v>
      </c>
    </row>
    <row r="135" spans="1:5" x14ac:dyDescent="0.25">
      <c r="A135" s="13" t="s">
        <v>354</v>
      </c>
      <c r="B135" s="13" t="s">
        <v>355</v>
      </c>
      <c r="C135" s="13" t="s">
        <v>502</v>
      </c>
      <c r="D135" s="14">
        <v>42289</v>
      </c>
      <c r="E135" s="13" t="str">
        <f>IF(MAPPING___2[[#This Row],[Preferred Address Lines]]&lt;&gt;"", _xlfn.CONCAT(MAPPING___2[[#This Row],[Preferred Address Lines]], ", ",MAPPING___2[[#This Row],[Preferred City_ State]]), "")</f>
        <v>3744 4th Ave. South, Minneapolis, MN</v>
      </c>
    </row>
    <row r="136" spans="1:5" x14ac:dyDescent="0.25">
      <c r="A136" s="13" t="s">
        <v>82</v>
      </c>
      <c r="B136" s="13" t="s">
        <v>356</v>
      </c>
      <c r="C136" s="13" t="s">
        <v>502</v>
      </c>
      <c r="D136" s="14">
        <v>42283</v>
      </c>
      <c r="E136" s="13" t="str">
        <f>IF(MAPPING___2[[#This Row],[Preferred Address Lines]]&lt;&gt;"", _xlfn.CONCAT(MAPPING___2[[#This Row],[Preferred Address Lines]], ", ",MAPPING___2[[#This Row],[Preferred City_ State]]), "")</f>
        <v>3405 Chicago Ave., Minneapolis, MN</v>
      </c>
    </row>
    <row r="137" spans="1:5" x14ac:dyDescent="0.25">
      <c r="A137" s="13" t="s">
        <v>99</v>
      </c>
      <c r="B137" s="13" t="s">
        <v>357</v>
      </c>
      <c r="C137" s="13" t="s">
        <v>502</v>
      </c>
      <c r="D137" s="14">
        <v>42213</v>
      </c>
      <c r="E137" s="13" t="str">
        <f>IF(MAPPING___2[[#This Row],[Preferred Address Lines]]&lt;&gt;"", _xlfn.CONCAT(MAPPING___2[[#This Row],[Preferred Address Lines]], ", ",MAPPING___2[[#This Row],[Preferred City_ State]]), "")</f>
        <v>2211 Riverside Ave CB 26, Minneapolis, MN</v>
      </c>
    </row>
    <row r="138" spans="1:5" x14ac:dyDescent="0.25">
      <c r="A138" s="13" t="s">
        <v>79</v>
      </c>
      <c r="B138" s="13" t="s">
        <v>358</v>
      </c>
      <c r="C138" s="13" t="s">
        <v>515</v>
      </c>
      <c r="D138" s="14">
        <v>42255</v>
      </c>
      <c r="E138" s="13" t="str">
        <f>IF(MAPPING___2[[#This Row],[Preferred Address Lines]]&lt;&gt;"", _xlfn.CONCAT(MAPPING___2[[#This Row],[Preferred Address Lines]], ", ",MAPPING___2[[#This Row],[Preferred City_ State]]), "")</f>
        <v>2314 University Ave W, Suite 28, Saint Paul, MN</v>
      </c>
    </row>
    <row r="139" spans="1:5" x14ac:dyDescent="0.25">
      <c r="A139" s="13" t="s">
        <v>359</v>
      </c>
      <c r="B139" s="13" t="s">
        <v>360</v>
      </c>
      <c r="C139" s="13" t="s">
        <v>562</v>
      </c>
      <c r="D139" s="14">
        <v>42866</v>
      </c>
      <c r="E139" s="13" t="str">
        <f>IF(MAPPING___2[[#This Row],[Preferred Address Lines]]&lt;&gt;"", _xlfn.CONCAT(MAPPING___2[[#This Row],[Preferred Address Lines]], ", ",MAPPING___2[[#This Row],[Preferred City_ State]]), "")</f>
        <v>7733 Lakeview Lane NE, Spring Lake Park, MN</v>
      </c>
    </row>
    <row r="140" spans="1:5" x14ac:dyDescent="0.25">
      <c r="A140" s="13" t="s">
        <v>361</v>
      </c>
      <c r="B140" s="13" t="s">
        <v>362</v>
      </c>
      <c r="C140" s="13" t="s">
        <v>506</v>
      </c>
      <c r="D140" s="14">
        <v>42894</v>
      </c>
      <c r="E140" s="13" t="str">
        <f>IF(MAPPING___2[[#This Row],[Preferred Address Lines]]&lt;&gt;"", _xlfn.CONCAT(MAPPING___2[[#This Row],[Preferred Address Lines]], ", ",MAPPING___2[[#This Row],[Preferred City_ State]]), "")</f>
        <v>2375 University Ave West Suite 150, St. Paul, MN</v>
      </c>
    </row>
    <row r="141" spans="1:5" x14ac:dyDescent="0.25">
      <c r="A141" s="13" t="s">
        <v>363</v>
      </c>
      <c r="B141" s="13" t="s">
        <v>364</v>
      </c>
      <c r="C141" s="13" t="s">
        <v>513</v>
      </c>
      <c r="D141" s="14">
        <v>42712</v>
      </c>
      <c r="E141" s="13" t="str">
        <f>IF(MAPPING___2[[#This Row],[Preferred Address Lines]]&lt;&gt;"", _xlfn.CONCAT(MAPPING___2[[#This Row],[Preferred Address Lines]], ", ",MAPPING___2[[#This Row],[Preferred City_ State]]), "")</f>
        <v>40 Rector Street, 5th Floor, New York, NY</v>
      </c>
    </row>
    <row r="142" spans="1:5" x14ac:dyDescent="0.25">
      <c r="A142" s="13" t="s">
        <v>365</v>
      </c>
      <c r="B142" s="13" t="s">
        <v>366</v>
      </c>
      <c r="C142" s="13" t="s">
        <v>563</v>
      </c>
      <c r="D142" s="14">
        <v>42212</v>
      </c>
      <c r="E142" s="13" t="str">
        <f>IF(MAPPING___2[[#This Row],[Preferred Address Lines]]&lt;&gt;"", _xlfn.CONCAT(MAPPING___2[[#This Row],[Preferred Address Lines]], ", ",MAPPING___2[[#This Row],[Preferred City_ State]]), "")</f>
        <v>607 Main Avenue, Callaway, MN</v>
      </c>
    </row>
    <row r="143" spans="1:5" x14ac:dyDescent="0.25">
      <c r="A143" s="13" t="s">
        <v>76</v>
      </c>
      <c r="B143" s="13" t="s">
        <v>367</v>
      </c>
      <c r="C143" s="13" t="s">
        <v>502</v>
      </c>
      <c r="D143" s="14">
        <v>42284</v>
      </c>
      <c r="E143" s="13" t="str">
        <f>IF(MAPPING___2[[#This Row],[Preferred Address Lines]]&lt;&gt;"", _xlfn.CONCAT(MAPPING___2[[#This Row],[Preferred Address Lines]], ", ",MAPPING___2[[#This Row],[Preferred City_ State]]), "")</f>
        <v>1113 E. Franklin Avenue, Suite 103, Minneapolis, MN</v>
      </c>
    </row>
    <row r="144" spans="1:5" x14ac:dyDescent="0.25">
      <c r="A144" s="13" t="s">
        <v>368</v>
      </c>
      <c r="B144" s="13" t="s">
        <v>369</v>
      </c>
      <c r="C144" s="13" t="s">
        <v>502</v>
      </c>
      <c r="D144" s="14">
        <v>42465</v>
      </c>
      <c r="E144" s="13" t="str">
        <f>IF(MAPPING___2[[#This Row],[Preferred Address Lines]]&lt;&gt;"", _xlfn.CONCAT(MAPPING___2[[#This Row],[Preferred Address Lines]], ", ",MAPPING___2[[#This Row],[Preferred City_ State]]), "")</f>
        <v>1335 E 23rd Street, Minneapolis, MN</v>
      </c>
    </row>
    <row r="145" spans="1:5" x14ac:dyDescent="0.25">
      <c r="A145" s="13" t="s">
        <v>370</v>
      </c>
      <c r="B145" s="13" t="s">
        <v>371</v>
      </c>
      <c r="C145" s="13" t="s">
        <v>564</v>
      </c>
      <c r="D145" s="14">
        <v>42291</v>
      </c>
      <c r="E145" s="13" t="str">
        <f>IF(MAPPING___2[[#This Row],[Preferred Address Lines]]&lt;&gt;"", _xlfn.CONCAT(MAPPING___2[[#This Row],[Preferred Address Lines]], ", ",MAPPING___2[[#This Row],[Preferred City_ State]]), "")</f>
        <v>1313 Penn Avenue North, Minnepolis, MN</v>
      </c>
    </row>
    <row r="146" spans="1:5" x14ac:dyDescent="0.25">
      <c r="A146" s="13" t="s">
        <v>372</v>
      </c>
      <c r="B146" s="13" t="s">
        <v>373</v>
      </c>
      <c r="C146" s="13" t="s">
        <v>502</v>
      </c>
      <c r="D146" s="14">
        <v>42373</v>
      </c>
      <c r="E146" s="13" t="str">
        <f>IF(MAPPING___2[[#This Row],[Preferred Address Lines]]&lt;&gt;"", _xlfn.CONCAT(MAPPING___2[[#This Row],[Preferred Address Lines]], ", ",MAPPING___2[[#This Row],[Preferred City_ State]]), "")</f>
        <v>2418 Plymouth Ave N, Minneapolis, MN</v>
      </c>
    </row>
    <row r="147" spans="1:5" x14ac:dyDescent="0.25">
      <c r="A147" s="13" t="s">
        <v>374</v>
      </c>
      <c r="B147" s="13" t="s">
        <v>375</v>
      </c>
      <c r="C147" s="13" t="s">
        <v>565</v>
      </c>
      <c r="D147" s="14">
        <v>42080</v>
      </c>
      <c r="E147" s="13" t="str">
        <f>IF(MAPPING___2[[#This Row],[Preferred Address Lines]]&lt;&gt;"", _xlfn.CONCAT(MAPPING___2[[#This Row],[Preferred Address Lines]], ", ",MAPPING___2[[#This Row],[Preferred City_ State]]), "")</f>
        <v>PO Box 37, Pa'auila, HI</v>
      </c>
    </row>
    <row r="148" spans="1:5" x14ac:dyDescent="0.25">
      <c r="A148" s="13" t="s">
        <v>376</v>
      </c>
      <c r="B148" s="13" t="s">
        <v>377</v>
      </c>
      <c r="C148" s="13" t="s">
        <v>502</v>
      </c>
      <c r="D148" s="14">
        <v>42039</v>
      </c>
      <c r="E148" s="13" t="str">
        <f>IF(MAPPING___2[[#This Row],[Preferred Address Lines]]&lt;&gt;"", _xlfn.CONCAT(MAPPING___2[[#This Row],[Preferred Address Lines]], ", ",MAPPING___2[[#This Row],[Preferred City_ State]]), "")</f>
        <v>3325 2nd Ave S, Minneapolis, MN</v>
      </c>
    </row>
    <row r="149" spans="1:5" x14ac:dyDescent="0.25">
      <c r="A149" s="13" t="s">
        <v>378</v>
      </c>
      <c r="B149" s="13" t="s">
        <v>323</v>
      </c>
      <c r="C149" s="13" t="s">
        <v>506</v>
      </c>
      <c r="D149" s="14">
        <v>42354</v>
      </c>
      <c r="E149" s="13" t="str">
        <f>IF(MAPPING___2[[#This Row],[Preferred Address Lines]]&lt;&gt;"", _xlfn.CONCAT(MAPPING___2[[#This Row],[Preferred Address Lines]], ", ",MAPPING___2[[#This Row],[Preferred City_ State]]), "")</f>
        <v>444 Lexington Pkwy S Unit 1, St. Paul, MN</v>
      </c>
    </row>
    <row r="150" spans="1:5" x14ac:dyDescent="0.25">
      <c r="A150" s="13" t="s">
        <v>379</v>
      </c>
      <c r="B150" s="13" t="s">
        <v>380</v>
      </c>
      <c r="C150" s="13" t="s">
        <v>502</v>
      </c>
      <c r="D150" s="14">
        <v>42074</v>
      </c>
      <c r="E150" s="13" t="str">
        <f>IF(MAPPING___2[[#This Row],[Preferred Address Lines]]&lt;&gt;"", _xlfn.CONCAT(MAPPING___2[[#This Row],[Preferred Address Lines]], ", ",MAPPING___2[[#This Row],[Preferred City_ State]]), "")</f>
        <v>PO Box 581254, Minneapolis, MN</v>
      </c>
    </row>
    <row r="151" spans="1:5" x14ac:dyDescent="0.25">
      <c r="A151" s="13" t="s">
        <v>381</v>
      </c>
      <c r="B151" s="13" t="s">
        <v>382</v>
      </c>
      <c r="C151" s="13" t="s">
        <v>502</v>
      </c>
      <c r="D151" s="14">
        <v>42874</v>
      </c>
      <c r="E151" s="13" t="str">
        <f>IF(MAPPING___2[[#This Row],[Preferred Address Lines]]&lt;&gt;"", _xlfn.CONCAT(MAPPING___2[[#This Row],[Preferred Address Lines]], ", ",MAPPING___2[[#This Row],[Preferred City_ State]]), "")</f>
        <v>2910 15th ave s #2, Minneapolis, MN</v>
      </c>
    </row>
    <row r="152" spans="1:5" x14ac:dyDescent="0.25">
      <c r="A152" s="13" t="s">
        <v>383</v>
      </c>
      <c r="B152" s="13" t="s">
        <v>384</v>
      </c>
      <c r="C152" s="13" t="s">
        <v>502</v>
      </c>
      <c r="D152" s="14">
        <v>42010</v>
      </c>
      <c r="E152" s="13" t="str">
        <f>IF(MAPPING___2[[#This Row],[Preferred Address Lines]]&lt;&gt;"", _xlfn.CONCAT(MAPPING___2[[#This Row],[Preferred Address Lines]], ", ",MAPPING___2[[#This Row],[Preferred City_ State]]), "")</f>
        <v>411 East 38th Street Suite 107, Minneapolis, MN</v>
      </c>
    </row>
    <row r="153" spans="1:5" x14ac:dyDescent="0.25">
      <c r="A153" s="13" t="s">
        <v>385</v>
      </c>
      <c r="B153" s="13" t="s">
        <v>386</v>
      </c>
      <c r="C153" s="13" t="s">
        <v>561</v>
      </c>
      <c r="D153" s="14">
        <v>42590</v>
      </c>
      <c r="E153" s="13" t="str">
        <f>IF(MAPPING___2[[#This Row],[Preferred Address Lines]]&lt;&gt;"", _xlfn.CONCAT(MAPPING___2[[#This Row],[Preferred Address Lines]], ", ",MAPPING___2[[#This Row],[Preferred City_ State]]), "")</f>
        <v>810 N. Milwaukee, Chicago, IL</v>
      </c>
    </row>
    <row r="154" spans="1:5" x14ac:dyDescent="0.25">
      <c r="A154" s="13" t="s">
        <v>387</v>
      </c>
      <c r="B154" s="13" t="s">
        <v>388</v>
      </c>
      <c r="C154" s="13" t="s">
        <v>502</v>
      </c>
      <c r="D154" s="14">
        <v>42139</v>
      </c>
      <c r="E154" s="13" t="str">
        <f>IF(MAPPING___2[[#This Row],[Preferred Address Lines]]&lt;&gt;"", _xlfn.CONCAT(MAPPING___2[[#This Row],[Preferred Address Lines]], ", ",MAPPING___2[[#This Row],[Preferred City_ State]]), "")</f>
        <v>763 East 41st Street, Minneapolis, MN</v>
      </c>
    </row>
    <row r="155" spans="1:5" x14ac:dyDescent="0.25">
      <c r="A155" s="13" t="s">
        <v>389</v>
      </c>
      <c r="B155" s="13" t="s">
        <v>390</v>
      </c>
      <c r="C155" s="13" t="s">
        <v>502</v>
      </c>
      <c r="D155" s="14">
        <v>42082</v>
      </c>
      <c r="E155" s="13" t="str">
        <f>IF(MAPPING___2[[#This Row],[Preferred Address Lines]]&lt;&gt;"", _xlfn.CONCAT(MAPPING___2[[#This Row],[Preferred Address Lines]], ", ",MAPPING___2[[#This Row],[Preferred City_ State]]), "")</f>
        <v>1308 Franklin Ave Suite 203, Minneapolis, MN</v>
      </c>
    </row>
    <row r="156" spans="1:5" x14ac:dyDescent="0.25">
      <c r="A156" s="13" t="s">
        <v>391</v>
      </c>
      <c r="B156" s="13" t="s">
        <v>392</v>
      </c>
      <c r="C156" s="13" t="s">
        <v>502</v>
      </c>
      <c r="D156" s="14">
        <v>42040</v>
      </c>
      <c r="E156" s="13" t="str">
        <f>IF(MAPPING___2[[#This Row],[Preferred Address Lines]]&lt;&gt;"", _xlfn.CONCAT(MAPPING___2[[#This Row],[Preferred Address Lines]], ", ",MAPPING___2[[#This Row],[Preferred City_ State]]), "")</f>
        <v>P. O. Box 2427, Minneapolis, MN</v>
      </c>
    </row>
    <row r="157" spans="1:5" x14ac:dyDescent="0.25">
      <c r="A157" s="13" t="s">
        <v>393</v>
      </c>
      <c r="B157" s="13" t="s">
        <v>350</v>
      </c>
      <c r="C157" s="13" t="s">
        <v>552</v>
      </c>
      <c r="D157" s="14">
        <v>42850</v>
      </c>
      <c r="E157" s="13" t="str">
        <f>IF(MAPPING___2[[#This Row],[Preferred Address Lines]]&lt;&gt;"", _xlfn.CONCAT(MAPPING___2[[#This Row],[Preferred Address Lines]], ", ",MAPPING___2[[#This Row],[Preferred City_ State]]), "")</f>
        <v>1783 Buerkle Circle, St Paul, MN</v>
      </c>
    </row>
    <row r="158" spans="1:5" x14ac:dyDescent="0.25">
      <c r="A158" s="13" t="s">
        <v>394</v>
      </c>
      <c r="B158" s="13" t="s">
        <v>395</v>
      </c>
      <c r="C158" s="13" t="s">
        <v>502</v>
      </c>
      <c r="D158" s="14">
        <v>42544</v>
      </c>
      <c r="E158" s="13" t="str">
        <f>IF(MAPPING___2[[#This Row],[Preferred Address Lines]]&lt;&gt;"", _xlfn.CONCAT(MAPPING___2[[#This Row],[Preferred Address Lines]], ", ",MAPPING___2[[#This Row],[Preferred City_ State]]), "")</f>
        <v>2321 11th Avenue South, Minneapolis, MN</v>
      </c>
    </row>
    <row r="159" spans="1:5" x14ac:dyDescent="0.25">
      <c r="A159" s="13" t="s">
        <v>396</v>
      </c>
      <c r="B159" s="13" t="s">
        <v>397</v>
      </c>
      <c r="C159" s="13" t="s">
        <v>513</v>
      </c>
      <c r="D159" s="14">
        <v>42361</v>
      </c>
      <c r="E159" s="13" t="str">
        <f>IF(MAPPING___2[[#This Row],[Preferred Address Lines]]&lt;&gt;"", _xlfn.CONCAT(MAPPING___2[[#This Row],[Preferred Address Lines]], ", ",MAPPING___2[[#This Row],[Preferred City_ State]]), "")</f>
        <v>434 West 33rd Street, New York, NY</v>
      </c>
    </row>
    <row r="160" spans="1:5" x14ac:dyDescent="0.25">
      <c r="A160" s="13" t="s">
        <v>67</v>
      </c>
      <c r="B160" s="13" t="s">
        <v>398</v>
      </c>
      <c r="C160" s="13" t="s">
        <v>566</v>
      </c>
      <c r="D160" s="14">
        <v>42283</v>
      </c>
      <c r="E160" s="13" t="str">
        <f>IF(MAPPING___2[[#This Row],[Preferred Address Lines]]&lt;&gt;"", _xlfn.CONCAT(MAPPING___2[[#This Row],[Preferred Address Lines]], ", ",MAPPING___2[[#This Row],[Preferred City_ State]]), "")</f>
        <v>202 West 3rd Street, Winona, MN</v>
      </c>
    </row>
    <row r="161" spans="1:5" x14ac:dyDescent="0.25">
      <c r="A161" s="13" t="s">
        <v>399</v>
      </c>
      <c r="B161" s="13" t="s">
        <v>400</v>
      </c>
      <c r="C161" s="13" t="s">
        <v>502</v>
      </c>
      <c r="D161" s="14">
        <v>42012</v>
      </c>
      <c r="E161" s="13" t="str">
        <f>IF(MAPPING___2[[#This Row],[Preferred Address Lines]]&lt;&gt;"", _xlfn.CONCAT(MAPPING___2[[#This Row],[Preferred Address Lines]], ", ",MAPPING___2[[#This Row],[Preferred City_ State]]), "")</f>
        <v>3415 Fremont Ave N, Minneapolis, MN</v>
      </c>
    </row>
    <row r="162" spans="1:5" x14ac:dyDescent="0.25">
      <c r="A162" s="13" t="s">
        <v>401</v>
      </c>
      <c r="B162" s="13" t="s">
        <v>402</v>
      </c>
      <c r="C162" s="13" t="s">
        <v>506</v>
      </c>
      <c r="D162" s="14">
        <v>42020</v>
      </c>
      <c r="E162" s="13" t="str">
        <f>IF(MAPPING___2[[#This Row],[Preferred Address Lines]]&lt;&gt;"", _xlfn.CONCAT(MAPPING___2[[#This Row],[Preferred Address Lines]], ", ",MAPPING___2[[#This Row],[Preferred City_ State]]), "")</f>
        <v>1669 Arcard St Ste 2, St. Paul, MN</v>
      </c>
    </row>
    <row r="163" spans="1:5" x14ac:dyDescent="0.25">
      <c r="A163" s="13" t="s">
        <v>403</v>
      </c>
      <c r="B163" s="13" t="s">
        <v>404</v>
      </c>
      <c r="C163" s="13" t="s">
        <v>502</v>
      </c>
      <c r="D163" s="14">
        <v>42850</v>
      </c>
      <c r="E163" s="13" t="str">
        <f>IF(MAPPING___2[[#This Row],[Preferred Address Lines]]&lt;&gt;"", _xlfn.CONCAT(MAPPING___2[[#This Row],[Preferred Address Lines]], ", ",MAPPING___2[[#This Row],[Preferred City_ State]]), "")</f>
        <v>PO Box 3801, Minneapolis, MN</v>
      </c>
    </row>
    <row r="164" spans="1:5" x14ac:dyDescent="0.25">
      <c r="A164" s="13" t="s">
        <v>57</v>
      </c>
      <c r="B164" s="13" t="s">
        <v>405</v>
      </c>
      <c r="C164" s="13" t="s">
        <v>525</v>
      </c>
      <c r="D164" s="14">
        <v>42437</v>
      </c>
      <c r="E164" s="13" t="str">
        <f>IF(MAPPING___2[[#This Row],[Preferred Address Lines]]&lt;&gt;"", _xlfn.CONCAT(MAPPING___2[[#This Row],[Preferred Address Lines]], ", ",MAPPING___2[[#This Row],[Preferred City_ State]]), "")</f>
        <v>4201 99th Avenue North, Brooklyn Park, MN</v>
      </c>
    </row>
    <row r="165" spans="1:5" x14ac:dyDescent="0.25">
      <c r="A165" s="13" t="s">
        <v>406</v>
      </c>
      <c r="B165" s="13" t="s">
        <v>290</v>
      </c>
      <c r="C165" s="13" t="s">
        <v>541</v>
      </c>
      <c r="D165" s="14">
        <v>42522</v>
      </c>
      <c r="E165" s="13" t="str">
        <f>IF(MAPPING___2[[#This Row],[Preferred Address Lines]]&lt;&gt;"", _xlfn.CONCAT(MAPPING___2[[#This Row],[Preferred Address Lines]], ", ",MAPPING___2[[#This Row],[Preferred City_ State]]), "")</f>
        <v>1407 West 4th St, Red Wing, MN</v>
      </c>
    </row>
    <row r="166" spans="1:5" x14ac:dyDescent="0.25">
      <c r="A166" s="13" t="s">
        <v>407</v>
      </c>
      <c r="B166" s="13" t="s">
        <v>408</v>
      </c>
      <c r="C166" s="13" t="s">
        <v>515</v>
      </c>
      <c r="D166" s="14">
        <v>42289</v>
      </c>
      <c r="E166" s="13" t="str">
        <f>IF(MAPPING___2[[#This Row],[Preferred Address Lines]]&lt;&gt;"", _xlfn.CONCAT(MAPPING___2[[#This Row],[Preferred Address Lines]], ", ",MAPPING___2[[#This Row],[Preferred City_ State]]), "")</f>
        <v>1188 Hubbard Avenue, Saint Paul, MN</v>
      </c>
    </row>
    <row r="167" spans="1:5" x14ac:dyDescent="0.25">
      <c r="A167" s="13" t="s">
        <v>409</v>
      </c>
      <c r="B167" s="13" t="s">
        <v>410</v>
      </c>
      <c r="C167" s="13" t="s">
        <v>502</v>
      </c>
      <c r="D167" s="14">
        <v>42528</v>
      </c>
      <c r="E167" s="13" t="str">
        <f>IF(MAPPING___2[[#This Row],[Preferred Address Lines]]&lt;&gt;"", _xlfn.CONCAT(MAPPING___2[[#This Row],[Preferred Address Lines]], ", ",MAPPING___2[[#This Row],[Preferred City_ State]]), "")</f>
        <v>1200 West Broadway Avenue, Suite 110, Minneapolis, MN</v>
      </c>
    </row>
    <row r="168" spans="1:5" x14ac:dyDescent="0.25">
      <c r="A168" s="13" t="s">
        <v>411</v>
      </c>
      <c r="B168" s="13" t="s">
        <v>412</v>
      </c>
      <c r="C168" s="13" t="s">
        <v>502</v>
      </c>
      <c r="D168" s="14">
        <v>42291</v>
      </c>
      <c r="E168" s="13" t="str">
        <f>IF(MAPPING___2[[#This Row],[Preferred Address Lines]]&lt;&gt;"", _xlfn.CONCAT(MAPPING___2[[#This Row],[Preferred Address Lines]], ", ",MAPPING___2[[#This Row],[Preferred City_ State]]), "")</f>
        <v>4233 Chicago Avenuew South, Minneapolis, MN</v>
      </c>
    </row>
    <row r="169" spans="1:5" x14ac:dyDescent="0.25">
      <c r="A169" s="13" t="s">
        <v>413</v>
      </c>
      <c r="B169" s="13" t="s">
        <v>414</v>
      </c>
      <c r="C169" s="13" t="s">
        <v>567</v>
      </c>
      <c r="D169" s="14">
        <v>42074</v>
      </c>
      <c r="E169" s="13" t="str">
        <f>IF(MAPPING___2[[#This Row],[Preferred Address Lines]]&lt;&gt;"", _xlfn.CONCAT(MAPPING___2[[#This Row],[Preferred Address Lines]], ", ",MAPPING___2[[#This Row],[Preferred City_ State]]), "")</f>
        <v>5640 N Danube Road, Fridley, MN</v>
      </c>
    </row>
    <row r="170" spans="1:5" x14ac:dyDescent="0.25">
      <c r="A170" s="13" t="s">
        <v>415</v>
      </c>
      <c r="B170" s="13" t="s">
        <v>416</v>
      </c>
      <c r="C170" s="13" t="s">
        <v>502</v>
      </c>
      <c r="D170" s="14">
        <v>42178</v>
      </c>
      <c r="E170" s="13" t="str">
        <f>IF(MAPPING___2[[#This Row],[Preferred Address Lines]]&lt;&gt;"", _xlfn.CONCAT(MAPPING___2[[#This Row],[Preferred Address Lines]], ", ",MAPPING___2[[#This Row],[Preferred City_ State]]), "")</f>
        <v>2323  32nd Ave. S., Minneapolis, MN</v>
      </c>
    </row>
    <row r="171" spans="1:5" x14ac:dyDescent="0.25">
      <c r="A171" s="13" t="s">
        <v>417</v>
      </c>
      <c r="B171" s="13" t="s">
        <v>418</v>
      </c>
      <c r="C171" s="13" t="s">
        <v>568</v>
      </c>
      <c r="D171" s="14">
        <v>42366</v>
      </c>
      <c r="E171" s="13" t="str">
        <f>IF(MAPPING___2[[#This Row],[Preferred Address Lines]]&lt;&gt;"", _xlfn.CONCAT(MAPPING___2[[#This Row],[Preferred Address Lines]], ", ",MAPPING___2[[#This Row],[Preferred City_ State]]), "")</f>
        <v>PO Box 3810, Shiprock, NM</v>
      </c>
    </row>
    <row r="172" spans="1:5" x14ac:dyDescent="0.25">
      <c r="A172" s="13" t="s">
        <v>419</v>
      </c>
      <c r="B172" s="13" t="s">
        <v>420</v>
      </c>
      <c r="C172" s="13" t="s">
        <v>502</v>
      </c>
      <c r="D172" s="14">
        <v>42867</v>
      </c>
      <c r="E172" s="13" t="str">
        <f>IF(MAPPING___2[[#This Row],[Preferred Address Lines]]&lt;&gt;"", _xlfn.CONCAT(MAPPING___2[[#This Row],[Preferred Address Lines]], ", ",MAPPING___2[[#This Row],[Preferred City_ State]]), "")</f>
        <v>3501 Chicago Ave. S., Minneapolis, MN</v>
      </c>
    </row>
    <row r="173" spans="1:5" x14ac:dyDescent="0.25">
      <c r="A173" s="13" t="s">
        <v>421</v>
      </c>
      <c r="B173" s="13" t="s">
        <v>422</v>
      </c>
      <c r="C173" s="13" t="s">
        <v>569</v>
      </c>
      <c r="D173" s="14">
        <v>42039</v>
      </c>
      <c r="E173" s="13" t="str">
        <f>IF(MAPPING___2[[#This Row],[Preferred Address Lines]]&lt;&gt;"", _xlfn.CONCAT(MAPPING___2[[#This Row],[Preferred Address Lines]], ", ",MAPPING___2[[#This Row],[Preferred City_ State]]), "")</f>
        <v>PO Box 226, Fargo, ND</v>
      </c>
    </row>
    <row r="174" spans="1:5" x14ac:dyDescent="0.25">
      <c r="A174" s="13" t="s">
        <v>423</v>
      </c>
      <c r="B174" s="13" t="s">
        <v>424</v>
      </c>
      <c r="C174" s="13" t="s">
        <v>504</v>
      </c>
      <c r="D174" s="14">
        <v>42523</v>
      </c>
      <c r="E174" s="13" t="str">
        <f>IF(MAPPING___2[[#This Row],[Preferred Address Lines]]&lt;&gt;"", _xlfn.CONCAT(MAPPING___2[[#This Row],[Preferred Address Lines]], ", ",MAPPING___2[[#This Row],[Preferred City_ State]]), "")</f>
        <v>5701 Shingle Creek Pkwy Suite 540, Brooklyn Center, MN</v>
      </c>
    </row>
    <row r="175" spans="1:5" x14ac:dyDescent="0.25">
      <c r="A175" s="13" t="s">
        <v>425</v>
      </c>
      <c r="B175" s="13" t="s">
        <v>426</v>
      </c>
      <c r="C175" s="13" t="s">
        <v>570</v>
      </c>
      <c r="D175" s="14">
        <v>42375</v>
      </c>
      <c r="E175" s="13" t="str">
        <f>IF(MAPPING___2[[#This Row],[Preferred Address Lines]]&lt;&gt;"", _xlfn.CONCAT(MAPPING___2[[#This Row],[Preferred Address Lines]], ", ",MAPPING___2[[#This Row],[Preferred City_ State]]), "")</f>
        <v>1904 Third Ave Ste 806, Seattle, WA</v>
      </c>
    </row>
    <row r="176" spans="1:5" x14ac:dyDescent="0.25">
      <c r="A176" s="13" t="s">
        <v>8</v>
      </c>
      <c r="B176" s="13" t="s">
        <v>427</v>
      </c>
      <c r="C176" s="13" t="s">
        <v>502</v>
      </c>
      <c r="D176" s="14">
        <v>42768</v>
      </c>
      <c r="E176" s="13" t="str">
        <f>IF(MAPPING___2[[#This Row],[Preferred Address Lines]]&lt;&gt;"", _xlfn.CONCAT(MAPPING___2[[#This Row],[Preferred Address Lines]], ", ",MAPPING___2[[#This Row],[Preferred City_ State]]), "")</f>
        <v>2323 Eleventh Avenue South, Suite 260, Minneapolis, MN</v>
      </c>
    </row>
    <row r="177" spans="1:5" x14ac:dyDescent="0.25">
      <c r="A177" s="13" t="s">
        <v>58</v>
      </c>
      <c r="B177" s="13" t="s">
        <v>428</v>
      </c>
      <c r="C177" s="13" t="s">
        <v>502</v>
      </c>
      <c r="D177" s="14">
        <v>42529</v>
      </c>
      <c r="E177" s="13" t="str">
        <f>IF(MAPPING___2[[#This Row],[Preferred Address Lines]]&lt;&gt;"", _xlfn.CONCAT(MAPPING___2[[#This Row],[Preferred Address Lines]], ", ",MAPPING___2[[#This Row],[Preferred City_ State]]), "")</f>
        <v>1516 East Lake Street #11, Minneapolis, MN</v>
      </c>
    </row>
    <row r="178" spans="1:5" x14ac:dyDescent="0.25">
      <c r="A178" s="13" t="s">
        <v>20</v>
      </c>
      <c r="B178" s="13" t="s">
        <v>429</v>
      </c>
      <c r="C178" s="13" t="s">
        <v>548</v>
      </c>
      <c r="D178" s="14">
        <v>42422</v>
      </c>
      <c r="E178" s="13" t="str">
        <f>IF(MAPPING___2[[#This Row],[Preferred Address Lines]]&lt;&gt;"", _xlfn.CONCAT(MAPPING___2[[#This Row],[Preferred Address Lines]], ", ",MAPPING___2[[#This Row],[Preferred City_ State]]), "")</f>
        <v>227 E Main St #200, Mankato, MN</v>
      </c>
    </row>
    <row r="179" spans="1:5" x14ac:dyDescent="0.25">
      <c r="A179" s="13" t="s">
        <v>430</v>
      </c>
      <c r="B179" s="13" t="s">
        <v>431</v>
      </c>
      <c r="C179" s="13" t="s">
        <v>571</v>
      </c>
      <c r="D179" s="14">
        <v>42013</v>
      </c>
      <c r="E179" s="13" t="str">
        <f>IF(MAPPING___2[[#This Row],[Preferred Address Lines]]&lt;&gt;"", _xlfn.CONCAT(MAPPING___2[[#This Row],[Preferred Address Lines]], ", ",MAPPING___2[[#This Row],[Preferred City_ State]]), "")</f>
        <v>94 N. Maddy St  P.O. Box 99, McGregor, MN</v>
      </c>
    </row>
    <row r="180" spans="1:5" x14ac:dyDescent="0.25">
      <c r="A180" s="13" t="s">
        <v>432</v>
      </c>
      <c r="B180" s="13" t="s">
        <v>433</v>
      </c>
      <c r="C180" s="13" t="s">
        <v>572</v>
      </c>
      <c r="D180" s="14">
        <v>42016</v>
      </c>
      <c r="E180" s="13" t="str">
        <f>IF(MAPPING___2[[#This Row],[Preferred Address Lines]]&lt;&gt;"", _xlfn.CONCAT(MAPPING___2[[#This Row],[Preferred Address Lines]], ", ",MAPPING___2[[#This Row],[Preferred City_ State]]), "")</f>
        <v>537 N 12th, Ponca City, OK</v>
      </c>
    </row>
    <row r="181" spans="1:5" x14ac:dyDescent="0.25">
      <c r="A181" s="13" t="s">
        <v>434</v>
      </c>
      <c r="B181" s="13" t="s">
        <v>435</v>
      </c>
      <c r="C181" s="13" t="s">
        <v>573</v>
      </c>
      <c r="D181" s="14">
        <v>42465</v>
      </c>
      <c r="E181" s="13" t="str">
        <f>IF(MAPPING___2[[#This Row],[Preferred Address Lines]]&lt;&gt;"", _xlfn.CONCAT(MAPPING___2[[#This Row],[Preferred Address Lines]], ", ",MAPPING___2[[#This Row],[Preferred City_ State]]), "")</f>
        <v>957 Ozighaw Rd, Cloquet, MN</v>
      </c>
    </row>
    <row r="182" spans="1:5" x14ac:dyDescent="0.25">
      <c r="A182" s="13" t="s">
        <v>436</v>
      </c>
      <c r="B182" s="13" t="s">
        <v>437</v>
      </c>
      <c r="C182" s="13" t="s">
        <v>574</v>
      </c>
      <c r="D182" s="14">
        <v>42604</v>
      </c>
      <c r="E182" s="13" t="str">
        <f>IF(MAPPING___2[[#This Row],[Preferred Address Lines]]&lt;&gt;"", _xlfn.CONCAT(MAPPING___2[[#This Row],[Preferred Address Lines]], ", ",MAPPING___2[[#This Row],[Preferred City_ State]]), "")</f>
        <v>C/o Kristen Brock-Petroshius 3688 East 14th Street, Long Beach, CA</v>
      </c>
    </row>
    <row r="183" spans="1:5" x14ac:dyDescent="0.25">
      <c r="A183" s="13" t="s">
        <v>438</v>
      </c>
      <c r="B183" s="13" t="s">
        <v>246</v>
      </c>
      <c r="C183" s="13" t="s">
        <v>575</v>
      </c>
      <c r="D183" s="14">
        <v>42895</v>
      </c>
      <c r="E183" s="13" t="str">
        <f>IF(MAPPING___2[[#This Row],[Preferred Address Lines]]&lt;&gt;"", _xlfn.CONCAT(MAPPING___2[[#This Row],[Preferred Address Lines]], ", ",MAPPING___2[[#This Row],[Preferred City_ State]]), "")</f>
        <v>965 Payne, St. PAul, MN</v>
      </c>
    </row>
    <row r="184" spans="1:5" x14ac:dyDescent="0.25">
      <c r="A184" s="13" t="s">
        <v>439</v>
      </c>
      <c r="B184" s="13" t="s">
        <v>149</v>
      </c>
      <c r="C184" s="13" t="s">
        <v>149</v>
      </c>
      <c r="D184" s="14">
        <v>42030</v>
      </c>
      <c r="E184" s="13" t="str">
        <f>IF(MAPPING___2[[#This Row],[Preferred Address Lines]]&lt;&gt;"", _xlfn.CONCAT(MAPPING___2[[#This Row],[Preferred Address Lines]], ", ",MAPPING___2[[#This Row],[Preferred City_ State]]), "")</f>
        <v/>
      </c>
    </row>
    <row r="185" spans="1:5" x14ac:dyDescent="0.25">
      <c r="A185" s="13" t="s">
        <v>440</v>
      </c>
      <c r="B185" s="13" t="s">
        <v>441</v>
      </c>
      <c r="C185" s="13" t="s">
        <v>576</v>
      </c>
      <c r="D185" s="14">
        <v>42090</v>
      </c>
      <c r="E185" s="13" t="str">
        <f>IF(MAPPING___2[[#This Row],[Preferred Address Lines]]&lt;&gt;"", _xlfn.CONCAT(MAPPING___2[[#This Row],[Preferred Address Lines]], ", ",MAPPING___2[[#This Row],[Preferred City_ State]]), "")</f>
        <v>1732 Rosewood Ave S, Maplewood, MN</v>
      </c>
    </row>
    <row r="186" spans="1:5" x14ac:dyDescent="0.25">
      <c r="A186" s="13" t="s">
        <v>442</v>
      </c>
      <c r="B186" s="13" t="s">
        <v>443</v>
      </c>
      <c r="C186" s="13" t="s">
        <v>515</v>
      </c>
      <c r="D186" s="14">
        <v>42283</v>
      </c>
      <c r="E186" s="13" t="str">
        <f>IF(MAPPING___2[[#This Row],[Preferred Address Lines]]&lt;&gt;"", _xlfn.CONCAT(MAPPING___2[[#This Row],[Preferred Address Lines]], ", ",MAPPING___2[[#This Row],[Preferred City_ State]]), "")</f>
        <v>875 Summit Ave, Saint Paul, MN</v>
      </c>
    </row>
    <row r="187" spans="1:5" x14ac:dyDescent="0.25">
      <c r="A187" s="13" t="s">
        <v>112</v>
      </c>
      <c r="B187" s="13" t="s">
        <v>444</v>
      </c>
      <c r="C187" s="13" t="s">
        <v>502</v>
      </c>
      <c r="D187" s="14">
        <v>42009</v>
      </c>
      <c r="E187" s="13" t="str">
        <f>IF(MAPPING___2[[#This Row],[Preferred Address Lines]]&lt;&gt;"", _xlfn.CONCAT(MAPPING___2[[#This Row],[Preferred Address Lines]], ", ",MAPPING___2[[#This Row],[Preferred City_ State]]), "")</f>
        <v>1111 West 22nd Street, Minneapolis, MN</v>
      </c>
    </row>
    <row r="188" spans="1:5" x14ac:dyDescent="0.25">
      <c r="A188" s="13" t="s">
        <v>445</v>
      </c>
      <c r="B188" s="13" t="s">
        <v>446</v>
      </c>
      <c r="C188" s="13" t="s">
        <v>577</v>
      </c>
      <c r="D188" s="14">
        <v>42465</v>
      </c>
      <c r="E188" s="13" t="str">
        <f>IF(MAPPING___2[[#This Row],[Preferred Address Lines]]&lt;&gt;"", _xlfn.CONCAT(MAPPING___2[[#This Row],[Preferred Address Lines]], ", ",MAPPING___2[[#This Row],[Preferred City_ State]]), "")</f>
        <v>PO Box 71, Garyowen, MT</v>
      </c>
    </row>
    <row r="189" spans="1:5" x14ac:dyDescent="0.25">
      <c r="A189" s="13" t="s">
        <v>447</v>
      </c>
      <c r="B189" s="13" t="s">
        <v>448</v>
      </c>
      <c r="C189" s="13" t="s">
        <v>506</v>
      </c>
      <c r="D189" s="14">
        <v>42075</v>
      </c>
      <c r="E189" s="13" t="str">
        <f>IF(MAPPING___2[[#This Row],[Preferred Address Lines]]&lt;&gt;"", _xlfn.CONCAT(MAPPING___2[[#This Row],[Preferred Address Lines]], ", ",MAPPING___2[[#This Row],[Preferred City_ State]]), "")</f>
        <v>c/o Springboard for the Arts 308 Prince Street, #270, St. Paul, MN</v>
      </c>
    </row>
    <row r="190" spans="1:5" x14ac:dyDescent="0.25">
      <c r="A190" s="13" t="s">
        <v>449</v>
      </c>
      <c r="B190" s="13" t="s">
        <v>450</v>
      </c>
      <c r="C190" s="13" t="s">
        <v>522</v>
      </c>
      <c r="D190" s="14">
        <v>42285</v>
      </c>
      <c r="E190" s="13" t="str">
        <f>IF(MAPPING___2[[#This Row],[Preferred Address Lines]]&lt;&gt;"", _xlfn.CONCAT(MAPPING___2[[#This Row],[Preferred Address Lines]], ", ",MAPPING___2[[#This Row],[Preferred City_ State]]), "")</f>
        <v>8501 54th Ave. N., New Hope, MN</v>
      </c>
    </row>
    <row r="191" spans="1:5" x14ac:dyDescent="0.25">
      <c r="A191" s="13" t="s">
        <v>451</v>
      </c>
      <c r="B191" s="13" t="s">
        <v>452</v>
      </c>
      <c r="C191" s="13" t="s">
        <v>509</v>
      </c>
      <c r="D191" s="14">
        <v>42604</v>
      </c>
      <c r="E191" s="13" t="str">
        <f>IF(MAPPING___2[[#This Row],[Preferred Address Lines]]&lt;&gt;"", _xlfn.CONCAT(MAPPING___2[[#This Row],[Preferred Address Lines]], ", ",MAPPING___2[[#This Row],[Preferred City_ State]]), "")</f>
        <v>Alliance for Global Justice 225 East 26th Street, Suite 1, Tucson, AZ</v>
      </c>
    </row>
    <row r="192" spans="1:5" x14ac:dyDescent="0.25">
      <c r="A192" s="13" t="s">
        <v>453</v>
      </c>
      <c r="B192" s="13" t="s">
        <v>454</v>
      </c>
      <c r="C192" s="13" t="s">
        <v>578</v>
      </c>
      <c r="D192" s="14">
        <v>42240</v>
      </c>
      <c r="E192" s="13" t="str">
        <f>IF(MAPPING___2[[#This Row],[Preferred Address Lines]]&lt;&gt;"", _xlfn.CONCAT(MAPPING___2[[#This Row],[Preferred Address Lines]], ", ",MAPPING___2[[#This Row],[Preferred City_ State]]), "")</f>
        <v>6711 Lincoln Dr., Philadelphia, PA</v>
      </c>
    </row>
    <row r="193" spans="1:5" x14ac:dyDescent="0.25">
      <c r="A193" s="13" t="s">
        <v>113</v>
      </c>
      <c r="B193" s="13" t="s">
        <v>455</v>
      </c>
      <c r="C193" s="13" t="s">
        <v>502</v>
      </c>
      <c r="D193" s="14">
        <v>42009</v>
      </c>
      <c r="E193" s="13" t="str">
        <f>IF(MAPPING___2[[#This Row],[Preferred Address Lines]]&lt;&gt;"", _xlfn.CONCAT(MAPPING___2[[#This Row],[Preferred Address Lines]], ", ",MAPPING___2[[#This Row],[Preferred City_ State]]), "")</f>
        <v>8014 Olson Memorial Hwy #153, Minneapolis, MN</v>
      </c>
    </row>
    <row r="194" spans="1:5" x14ac:dyDescent="0.25">
      <c r="A194" s="13" t="s">
        <v>456</v>
      </c>
      <c r="B194" s="13" t="s">
        <v>457</v>
      </c>
      <c r="C194" s="13" t="s">
        <v>542</v>
      </c>
      <c r="D194" s="14">
        <v>42410</v>
      </c>
      <c r="E194" s="13" t="str">
        <f>IF(MAPPING___2[[#This Row],[Preferred Address Lines]]&lt;&gt;"", _xlfn.CONCAT(MAPPING___2[[#This Row],[Preferred Address Lines]], ", ",MAPPING___2[[#This Row],[Preferred City_ State]]), "")</f>
        <v>c/o Humanitarian Services for Children of Vietnam 2965 Spring Lake Road SW, Prior Lake, MN</v>
      </c>
    </row>
    <row r="195" spans="1:5" x14ac:dyDescent="0.25">
      <c r="A195" s="13" t="s">
        <v>90</v>
      </c>
      <c r="B195" s="13" t="s">
        <v>458</v>
      </c>
      <c r="C195" s="13" t="s">
        <v>563</v>
      </c>
      <c r="D195" s="14">
        <v>42095</v>
      </c>
      <c r="E195" s="13" t="str">
        <f>IF(MAPPING___2[[#This Row],[Preferred Address Lines]]&lt;&gt;"", _xlfn.CONCAT(MAPPING___2[[#This Row],[Preferred Address Lines]], ", ",MAPPING___2[[#This Row],[Preferred City_ State]]), "")</f>
        <v>P.O. Box 25, Callaway, MN</v>
      </c>
    </row>
    <row r="196" spans="1:5" x14ac:dyDescent="0.25">
      <c r="A196" s="13" t="s">
        <v>459</v>
      </c>
      <c r="B196" s="13" t="s">
        <v>460</v>
      </c>
      <c r="C196" s="13" t="s">
        <v>506</v>
      </c>
      <c r="D196" s="14">
        <v>42213</v>
      </c>
      <c r="E196" s="13" t="str">
        <f>IF(MAPPING___2[[#This Row],[Preferred Address Lines]]&lt;&gt;"", _xlfn.CONCAT(MAPPING___2[[#This Row],[Preferred Address Lines]], ", ",MAPPING___2[[#This Row],[Preferred City_ State]]), "")</f>
        <v>165 North Dunlap Street, St. Paul, MN</v>
      </c>
    </row>
    <row r="197" spans="1:5" x14ac:dyDescent="0.25">
      <c r="A197" s="13" t="s">
        <v>461</v>
      </c>
      <c r="B197" s="13" t="s">
        <v>462</v>
      </c>
      <c r="C197" s="13" t="s">
        <v>579</v>
      </c>
      <c r="D197" s="14">
        <v>42384</v>
      </c>
      <c r="E197" s="13" t="str">
        <f>IF(MAPPING___2[[#This Row],[Preferred Address Lines]]&lt;&gt;"", _xlfn.CONCAT(MAPPING___2[[#This Row],[Preferred Address Lines]], ", ",MAPPING___2[[#This Row],[Preferred City_ State]]), "")</f>
        <v>232 2nd Avenue North, White Park, MN</v>
      </c>
    </row>
    <row r="198" spans="1:5" x14ac:dyDescent="0.25">
      <c r="A198" s="13" t="s">
        <v>463</v>
      </c>
      <c r="B198" s="13" t="s">
        <v>464</v>
      </c>
      <c r="C198" s="13" t="s">
        <v>528</v>
      </c>
      <c r="D198" s="14">
        <v>42789</v>
      </c>
      <c r="E198" s="13" t="str">
        <f>IF(MAPPING___2[[#This Row],[Preferred Address Lines]]&lt;&gt;"", _xlfn.CONCAT(MAPPING___2[[#This Row],[Preferred Address Lines]], ", ",MAPPING___2[[#This Row],[Preferred City_ State]]), "")</f>
        <v>1900 L St. NW Suite 900, Washington, DC</v>
      </c>
    </row>
    <row r="199" spans="1:5" x14ac:dyDescent="0.25">
      <c r="A199" s="13" t="s">
        <v>84</v>
      </c>
      <c r="B199" s="13" t="s">
        <v>465</v>
      </c>
      <c r="C199" s="13" t="s">
        <v>502</v>
      </c>
      <c r="D199" s="14">
        <v>42389</v>
      </c>
      <c r="E199" s="13" t="str">
        <f>IF(MAPPING___2[[#This Row],[Preferred Address Lines]]&lt;&gt;"", _xlfn.CONCAT(MAPPING___2[[#This Row],[Preferred Address Lines]], ", ",MAPPING___2[[#This Row],[Preferred City_ State]]), "")</f>
        <v>McNamara Alumni Center 200 Oak Street SE, Suite 500, Minneapolis, MN</v>
      </c>
    </row>
    <row r="200" spans="1:5" x14ac:dyDescent="0.25">
      <c r="A200" s="13" t="s">
        <v>466</v>
      </c>
      <c r="B200" s="13" t="s">
        <v>467</v>
      </c>
      <c r="C200" s="13" t="s">
        <v>515</v>
      </c>
      <c r="D200" s="14">
        <v>42289</v>
      </c>
      <c r="E200" s="13" t="str">
        <f>IF(MAPPING___2[[#This Row],[Preferred Address Lines]]&lt;&gt;"", _xlfn.CONCAT(MAPPING___2[[#This Row],[Preferred Address Lines]], ", ",MAPPING___2[[#This Row],[Preferred City_ State]]), "")</f>
        <v>2115 Summit Avenue, Saint Paul, MN</v>
      </c>
    </row>
    <row r="201" spans="1:5" x14ac:dyDescent="0.25">
      <c r="A201" s="13" t="s">
        <v>468</v>
      </c>
      <c r="B201" s="13" t="s">
        <v>469</v>
      </c>
      <c r="C201" s="13" t="s">
        <v>506</v>
      </c>
      <c r="D201" s="14">
        <v>42075</v>
      </c>
      <c r="E201" s="13" t="str">
        <f>IF(MAPPING___2[[#This Row],[Preferred Address Lines]]&lt;&gt;"", _xlfn.CONCAT(MAPPING___2[[#This Row],[Preferred Address Lines]], ", ",MAPPING___2[[#This Row],[Preferred City_ State]]), "")</f>
        <v>1420 Eckles Avenue, 90 Coffey Hall, St. Paul, MN</v>
      </c>
    </row>
    <row r="202" spans="1:5" x14ac:dyDescent="0.25">
      <c r="A202" s="13" t="s">
        <v>470</v>
      </c>
      <c r="B202" s="13" t="s">
        <v>471</v>
      </c>
      <c r="C202" s="13" t="s">
        <v>580</v>
      </c>
      <c r="D202" s="14">
        <v>42283</v>
      </c>
      <c r="E202" s="13" t="str">
        <f>IF(MAPPING___2[[#This Row],[Preferred Address Lines]]&lt;&gt;"", _xlfn.CONCAT(MAPPING___2[[#This Row],[Preferred Address Lines]], ", ",MAPPING___2[[#This Row],[Preferred City_ State]]), "")</f>
        <v>463 Maria Avenue, Suite 207, Saitn Paul, MN</v>
      </c>
    </row>
    <row r="203" spans="1:5" x14ac:dyDescent="0.25">
      <c r="A203" s="13" t="s">
        <v>472</v>
      </c>
      <c r="B203" s="13" t="s">
        <v>246</v>
      </c>
      <c r="C203" s="13" t="s">
        <v>506</v>
      </c>
      <c r="D203" s="14">
        <v>42641</v>
      </c>
      <c r="E203" s="13" t="str">
        <f>IF(MAPPING___2[[#This Row],[Preferred Address Lines]]&lt;&gt;"", _xlfn.CONCAT(MAPPING___2[[#This Row],[Preferred Address Lines]], ", ",MAPPING___2[[#This Row],[Preferred City_ State]]), "")</f>
        <v>965 Payne, St. Paul, MN</v>
      </c>
    </row>
    <row r="204" spans="1:5" x14ac:dyDescent="0.25">
      <c r="A204" s="13" t="s">
        <v>23</v>
      </c>
      <c r="B204" s="13" t="s">
        <v>473</v>
      </c>
      <c r="C204" s="13" t="s">
        <v>515</v>
      </c>
      <c r="D204" s="14">
        <v>42766</v>
      </c>
      <c r="E204" s="13" t="str">
        <f>IF(MAPPING___2[[#This Row],[Preferred Address Lines]]&lt;&gt;"", _xlfn.CONCAT(MAPPING___2[[#This Row],[Preferred Address Lines]], ", ",MAPPING___2[[#This Row],[Preferred City_ State]]), "")</f>
        <v>501 North Dale St, Saint Paul, MN</v>
      </c>
    </row>
    <row r="205" spans="1:5" x14ac:dyDescent="0.25">
      <c r="A205" s="13" t="s">
        <v>474</v>
      </c>
      <c r="B205" s="13" t="s">
        <v>475</v>
      </c>
      <c r="C205" s="13" t="s">
        <v>581</v>
      </c>
      <c r="D205" s="14">
        <v>42009</v>
      </c>
      <c r="E205" s="13" t="str">
        <f>IF(MAPPING___2[[#This Row],[Preferred Address Lines]]&lt;&gt;"", _xlfn.CONCAT(MAPPING___2[[#This Row],[Preferred Address Lines]], ", ",MAPPING___2[[#This Row],[Preferred City_ State]]), "")</f>
        <v>6 Coriander Ct, Durham, NC</v>
      </c>
    </row>
    <row r="206" spans="1:5" x14ac:dyDescent="0.25">
      <c r="A206" s="13" t="s">
        <v>476</v>
      </c>
      <c r="B206" s="13" t="s">
        <v>477</v>
      </c>
      <c r="C206" s="13" t="s">
        <v>582</v>
      </c>
      <c r="D206" s="14">
        <v>42465</v>
      </c>
      <c r="E206" s="13" t="str">
        <f>IF(MAPPING___2[[#This Row],[Preferred Address Lines]]&lt;&gt;"", _xlfn.CONCAT(MAPPING___2[[#This Row],[Preferred Address Lines]], ", ",MAPPING___2[[#This Row],[Preferred City_ State]]), "")</f>
        <v>420 N Pattee Street Apt 11, Missoula, MT</v>
      </c>
    </row>
    <row r="207" spans="1:5" x14ac:dyDescent="0.25">
      <c r="A207" s="13" t="s">
        <v>478</v>
      </c>
      <c r="B207" s="13" t="s">
        <v>479</v>
      </c>
      <c r="C207" s="13" t="s">
        <v>502</v>
      </c>
      <c r="D207" s="14">
        <v>42893</v>
      </c>
      <c r="E207" s="13" t="str">
        <f>IF(MAPPING___2[[#This Row],[Preferred Address Lines]]&lt;&gt;"", _xlfn.CONCAT(MAPPING___2[[#This Row],[Preferred Address Lines]], ", ",MAPPING___2[[#This Row],[Preferred City_ State]]), "")</f>
        <v>4618 Clinton Ave, Minneapolis, Minneapolis, MN</v>
      </c>
    </row>
    <row r="208" spans="1:5" x14ac:dyDescent="0.25">
      <c r="A208" s="13" t="s">
        <v>480</v>
      </c>
      <c r="B208" s="13" t="s">
        <v>481</v>
      </c>
      <c r="C208" s="13" t="s">
        <v>528</v>
      </c>
      <c r="D208" s="14">
        <v>42667</v>
      </c>
      <c r="E208" s="13" t="str">
        <f>IF(MAPPING___2[[#This Row],[Preferred Address Lines]]&lt;&gt;"", _xlfn.CONCAT(MAPPING___2[[#This Row],[Preferred Address Lines]], ", ",MAPPING___2[[#This Row],[Preferred City_ State]]), "")</f>
        <v>1226 Vermont Avenue NW, Washington, DC</v>
      </c>
    </row>
    <row r="209" spans="1:5" x14ac:dyDescent="0.25">
      <c r="A209" s="13" t="s">
        <v>32</v>
      </c>
      <c r="B209" s="13" t="s">
        <v>482</v>
      </c>
      <c r="C209" s="13" t="s">
        <v>502</v>
      </c>
      <c r="D209" s="14">
        <v>42647</v>
      </c>
      <c r="E209" s="13" t="str">
        <f>IF(MAPPING___2[[#This Row],[Preferred Address Lines]]&lt;&gt;"", _xlfn.CONCAT(MAPPING___2[[#This Row],[Preferred Address Lines]], ", ",MAPPING___2[[#This Row],[Preferred City_ State]]), "")</f>
        <v>3548 Bryant Avenue South, Minneapolis, MN</v>
      </c>
    </row>
    <row r="210" spans="1:5" x14ac:dyDescent="0.25">
      <c r="A210" s="13" t="s">
        <v>483</v>
      </c>
      <c r="B210" s="13" t="s">
        <v>484</v>
      </c>
      <c r="C210" s="13" t="s">
        <v>583</v>
      </c>
      <c r="D210" s="14">
        <v>42374</v>
      </c>
      <c r="E210" s="13" t="str">
        <f>IF(MAPPING___2[[#This Row],[Preferred Address Lines]]&lt;&gt;"", _xlfn.CONCAT(MAPPING___2[[#This Row],[Preferred Address Lines]], ", ",MAPPING___2[[#This Row],[Preferred City_ State]]), "")</f>
        <v>256 West Fulton Road, West Fulton, NY</v>
      </c>
    </row>
    <row r="211" spans="1:5" x14ac:dyDescent="0.25">
      <c r="A211" s="13" t="s">
        <v>485</v>
      </c>
      <c r="B211" s="13" t="s">
        <v>486</v>
      </c>
      <c r="C211" s="13" t="s">
        <v>584</v>
      </c>
      <c r="D211" s="14">
        <v>42901</v>
      </c>
      <c r="E211" s="13" t="str">
        <f>IF(MAPPING___2[[#This Row],[Preferred Address Lines]]&lt;&gt;"", _xlfn.CONCAT(MAPPING___2[[#This Row],[Preferred Address Lines]], ", ",MAPPING___2[[#This Row],[Preferred City_ State]]), "")</f>
        <v>1600 East Lake street, Mpls, MN</v>
      </c>
    </row>
    <row r="212" spans="1:5" x14ac:dyDescent="0.25">
      <c r="A212" s="13" t="s">
        <v>487</v>
      </c>
      <c r="B212" s="13" t="s">
        <v>488</v>
      </c>
      <c r="C212" s="13" t="s">
        <v>502</v>
      </c>
      <c r="D212" s="14">
        <v>42025</v>
      </c>
      <c r="E212" s="13" t="str">
        <f>IF(MAPPING___2[[#This Row],[Preferred Address Lines]]&lt;&gt;"", _xlfn.CONCAT(MAPPING___2[[#This Row],[Preferred Address Lines]], ", ",MAPPING___2[[#This Row],[Preferred City_ State]]), "")</f>
        <v>1011 West Broadway Ave Ste 202, Minneapolis, MN</v>
      </c>
    </row>
    <row r="213" spans="1:5" x14ac:dyDescent="0.25">
      <c r="A213" s="13" t="s">
        <v>489</v>
      </c>
      <c r="B213" s="13" t="s">
        <v>490</v>
      </c>
      <c r="C213" s="13" t="s">
        <v>502</v>
      </c>
      <c r="D213" s="14">
        <v>42898</v>
      </c>
      <c r="E213" s="13" t="str">
        <f>IF(MAPPING___2[[#This Row],[Preferred Address Lines]]&lt;&gt;"", _xlfn.CONCAT(MAPPING___2[[#This Row],[Preferred Address Lines]], ", ",MAPPING___2[[#This Row],[Preferred City_ State]]), "")</f>
        <v>2801 21st Ave S #250, Minneapolis, MN</v>
      </c>
    </row>
    <row r="214" spans="1:5" x14ac:dyDescent="0.25">
      <c r="A214" s="13" t="s">
        <v>491</v>
      </c>
      <c r="B214" s="13" t="s">
        <v>492</v>
      </c>
      <c r="C214" s="13" t="s">
        <v>585</v>
      </c>
      <c r="D214" s="14">
        <v>42397</v>
      </c>
      <c r="E214" s="13" t="str">
        <f>IF(MAPPING___2[[#This Row],[Preferred Address Lines]]&lt;&gt;"", _xlfn.CONCAT(MAPPING___2[[#This Row],[Preferred Address Lines]], ", ",MAPPING___2[[#This Row],[Preferred City_ State]]), "")</f>
        <v>PO Box 418, White Earth, MN</v>
      </c>
    </row>
    <row r="215" spans="1:5" x14ac:dyDescent="0.25">
      <c r="A215" s="13" t="s">
        <v>493</v>
      </c>
      <c r="B215" s="13" t="s">
        <v>494</v>
      </c>
      <c r="C215" s="13" t="s">
        <v>502</v>
      </c>
      <c r="D215" s="14">
        <v>42074</v>
      </c>
      <c r="E215" s="13" t="str">
        <f>IF(MAPPING___2[[#This Row],[Preferred Address Lines]]&lt;&gt;"", _xlfn.CONCAT(MAPPING___2[[#This Row],[Preferred Address Lines]], ", ",MAPPING___2[[#This Row],[Preferred City_ State]]), "")</f>
        <v>3216 31st Ave S, Minneapolis, MN</v>
      </c>
    </row>
    <row r="216" spans="1:5" x14ac:dyDescent="0.25">
      <c r="A216" s="13" t="s">
        <v>495</v>
      </c>
      <c r="B216" s="13" t="s">
        <v>495</v>
      </c>
      <c r="C216" s="13" t="s">
        <v>586</v>
      </c>
      <c r="D216" s="14">
        <v>42074</v>
      </c>
      <c r="E216" s="13" t="str">
        <f>IF(MAPPING___2[[#This Row],[Preferred Address Lines]]&lt;&gt;"", _xlfn.CONCAT(MAPPING___2[[#This Row],[Preferred Address Lines]], ", ",MAPPING___2[[#This Row],[Preferred City_ State]]), "")</f>
        <v>Wilkes-Barre Township K9, Wilkes-Barre Township, PA</v>
      </c>
    </row>
    <row r="217" spans="1:5" x14ac:dyDescent="0.25">
      <c r="A217" s="13" t="s">
        <v>496</v>
      </c>
      <c r="B217" s="13" t="s">
        <v>497</v>
      </c>
      <c r="C217" s="13" t="s">
        <v>587</v>
      </c>
      <c r="D217" s="14">
        <v>42016</v>
      </c>
      <c r="E217" s="13" t="str">
        <f>IF(MAPPING___2[[#This Row],[Preferred Address Lines]]&lt;&gt;"", _xlfn.CONCAT(MAPPING___2[[#This Row],[Preferred Address Lines]], ", ",MAPPING___2[[#This Row],[Preferred City_ State]]), "")</f>
        <v>14840 Bear Mountain Road, Redding, CA</v>
      </c>
    </row>
    <row r="218" spans="1:5" x14ac:dyDescent="0.25">
      <c r="A218" s="13" t="s">
        <v>498</v>
      </c>
      <c r="B218" s="13" t="s">
        <v>499</v>
      </c>
      <c r="C218" s="13" t="s">
        <v>524</v>
      </c>
      <c r="D218" s="14">
        <v>42025</v>
      </c>
      <c r="E218" s="13" t="str">
        <f>IF(MAPPING___2[[#This Row],[Preferred Address Lines]]&lt;&gt;"", _xlfn.CONCAT(MAPPING___2[[#This Row],[Preferred Address Lines]], ", ",MAPPING___2[[#This Row],[Preferred City_ State]]), "")</f>
        <v>32 E 1st St., Ste 300, Duluth, MN</v>
      </c>
    </row>
    <row r="219" spans="1:5" x14ac:dyDescent="0.25">
      <c r="A219" s="13" t="s">
        <v>500</v>
      </c>
      <c r="B219" s="13" t="s">
        <v>191</v>
      </c>
      <c r="C219" s="13" t="s">
        <v>502</v>
      </c>
      <c r="D219" s="14">
        <v>42508</v>
      </c>
      <c r="E219" s="13" t="str">
        <f>IF(MAPPING___2[[#This Row],[Preferred Address Lines]]&lt;&gt;"", _xlfn.CONCAT(MAPPING___2[[#This Row],[Preferred Address Lines]], ", ",MAPPING___2[[#This Row],[Preferred City_ State]]), "")</f>
        <v>3715 Chicago Avenue South, Minneapolis, MN</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35E85C-B580-407C-AED8-ADBF03CA74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MappingProjectData</vt:lpstr>
      <vt:lpstr>FuzzyLookup_AddIn_Undo_Sheet</vt:lpstr>
      <vt:lpstr>email info followup</vt:lpstr>
      <vt:lpstr>email info request 2</vt:lpstr>
      <vt:lpstr>email info request</vt:lpstr>
      <vt:lpstr>POC-led or no</vt:lpstr>
      <vt:lpstr>Still need POC status orgs</vt:lpstr>
      <vt:lpstr>Convening Attendees</vt:lpstr>
      <vt:lpstr>Workbook2</vt:lpstr>
      <vt:lpstr>Workbook1</vt:lpstr>
      <vt:lpstr>GrantedGE</vt:lpstr>
      <vt:lpstr>RE2</vt:lpstr>
      <vt:lpstr>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Hays</dc:creator>
  <cp:lastModifiedBy>Chris Hays</cp:lastModifiedBy>
  <cp:lastPrinted>2017-06-09T18:41:43Z</cp:lastPrinted>
  <dcterms:created xsi:type="dcterms:W3CDTF">2017-06-08T21:50:24Z</dcterms:created>
  <dcterms:modified xsi:type="dcterms:W3CDTF">2017-08-03T23:27:23Z</dcterms:modified>
</cp:coreProperties>
</file>